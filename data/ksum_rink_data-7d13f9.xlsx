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 sheetId="1" r:id="rId5"/>
    <sheet state="visible" name="institution Details " sheetId="2" r:id="rId6"/>
    <sheet state="visible" name="KSCSTE  " sheetId="3" r:id="rId7"/>
    <sheet state="visible" name="sector and img " sheetId="4" r:id="rId8"/>
    <sheet state="visible" name="niist" sheetId="5" r:id="rId9"/>
    <sheet state="visible" name="cpcri" sheetId="6" r:id="rId10"/>
  </sheets>
  <definedNames/>
  <calcPr/>
</workbook>
</file>

<file path=xl/sharedStrings.xml><?xml version="1.0" encoding="utf-8"?>
<sst xmlns="http://schemas.openxmlformats.org/spreadsheetml/2006/main" count="6499" uniqueCount="2212">
  <si>
    <t>technology_id</t>
  </si>
  <si>
    <t>technology_name</t>
  </si>
  <si>
    <t>institution</t>
  </si>
  <si>
    <t>sector</t>
  </si>
  <si>
    <t>technology_type</t>
  </si>
  <si>
    <t>problem_solved</t>
  </si>
  <si>
    <t>description</t>
  </si>
  <si>
    <t>applications</t>
  </si>
  <si>
    <t>startup_potential</t>
  </si>
  <si>
    <t>trl</t>
  </si>
  <si>
    <t>patent_status</t>
  </si>
  <si>
    <t>contact_person</t>
  </si>
  <si>
    <t>email</t>
  </si>
  <si>
    <t>source_pdf</t>
  </si>
  <si>
    <t>page_no</t>
  </si>
  <si>
    <t>keywords</t>
  </si>
  <si>
    <t>image_url</t>
  </si>
  <si>
    <t>CPCRI-001</t>
  </si>
  <si>
    <t>Coconut Sap Chiller for Hygienic and Unfermented Neera/Kalparasa Collection</t>
  </si>
  <si>
    <t>ICAR-CPCRI Kasaragod</t>
  </si>
  <si>
    <t xml:space="preserve">Agriculture </t>
  </si>
  <si>
    <t>Post-Harvest Technology,
Food Processing Equipment,
Agricultural Machinery &amp; Equipment</t>
  </si>
  <si>
    <t>Hygienic and unfermented sap collection</t>
  </si>
  <si>
    <t>The Coconut Sap Chiller is a portable device designed for the collection of hygienic and unfermented coconut sap (Kalparasa®/Neera) from the coconut spadix. As per the demand of stakeholders, molds required for the large-scale production of the Coconut Sap Chiller have been designed and fabricated.</t>
  </si>
  <si>
    <t>Coconut farmer producer organizations (FPOs) and coconut producer societies
Neera/Kalparasa production and processing units
Coconut-based food and beverage manufacturers
Agri-entrepreneurs and value-added coconut product startups
Coconut development agencies and plantation sector enterprises</t>
  </si>
  <si>
    <t>High</t>
  </si>
  <si>
    <t>Not Specified</t>
  </si>
  <si>
    <t>RINK Technology Booklet</t>
  </si>
  <si>
    <t>coconut, neera, kalparasa, chiller</t>
  </si>
  <si>
    <t>CPCRI-002</t>
  </si>
  <si>
    <t>Virgin Coconut Oil Production Technology</t>
  </si>
  <si>
    <t>Food Technology</t>
  </si>
  <si>
    <t>Process Technology</t>
  </si>
  <si>
    <t>Production of virgin coconut oil</t>
  </si>
  <si>
    <t>A complete package for producing Virgin Coconut Oil (VCO), the purest form of coconut oil. The technology includes two methods of VCO production: the hot process and the fermentation (cold) process. The produced VCO can be used as a functional, cosmetic, and pharmaceutical oil</t>
  </si>
  <si>
    <t>Virgin coconut oil manufacturing units
Cosmetic and personal care product manufacturers
Nutraceutical and wellness product companies
Pharmaceutical and herbal healthcare industries
Coconut processing enterprises and agri-food startups</t>
  </si>
  <si>
    <t>coconut oil, VCO, cosmetics, food technology</t>
  </si>
  <si>
    <t>CPCRI-003</t>
  </si>
  <si>
    <t>Technology for Production of Coconut Chips</t>
  </si>
  <si>
    <t xml:space="preserve">Snack Processing Technology
</t>
  </si>
  <si>
    <t>Value addition to coconut</t>
  </si>
  <si>
    <t>Crispy, crunchy, sweet or salty coconut chips prepared from kernels of 8–9 month matured coconuts. The technology standardizes the production process for different varieties of coconut chips, resulting in a delicious and nutritionally rich snack product</t>
  </si>
  <si>
    <t>Snack food manufacturing companies
Coconut processing and value-addition enterprises
Healthy and functional food product startups
Food processing MSMEs and agri-entrepreneurs
Institutional food suppliers and export-oriented food businesses</t>
  </si>
  <si>
    <t>coconut chips, snacks, food technology</t>
  </si>
  <si>
    <t>CPCRI-004</t>
  </si>
  <si>
    <t>Coconut Leaf Vermicomposting Technology</t>
  </si>
  <si>
    <t>Water, Environment &amp; Waste Management</t>
  </si>
  <si>
    <t xml:space="preserve">Composting Technology , Organic Fertilizer </t>
  </si>
  <si>
    <t>Sustainable recycling of coconut leaf biomass</t>
  </si>
  <si>
    <t>Kalpa Organic Gold is a granular organic manure produced by converting lignin-rich coconut leaves into vermicompost using the earthworm Eudrilus sp. (African nightcrawler). The resulting vermicompost can be applied to a wide range of field and horticultural crops</t>
  </si>
  <si>
    <t>Organic fertilizer and bio-input manufacturers
Coconut plantations and integrated farming enterprises
Horticulture and commercial crop growers
Sustainable agriculture and organic farming initiatives
Agricultural cooperatives and farmer producer organizations (FPOs)</t>
  </si>
  <si>
    <t>Medium</t>
  </si>
  <si>
    <t>organic manure, fertilizer</t>
  </si>
  <si>
    <t>CPCRI-005</t>
  </si>
  <si>
    <t>Urea-Free Coir Pith Composting Technology</t>
  </si>
  <si>
    <t>Composting Technology</t>
  </si>
  <si>
    <t>Sustainable recycling of coir pith biomass</t>
  </si>
  <si>
    <t>Kalpa Soil Care is a simple technology for converting coir pith into compost using organic inputs such as poultry manure, lime, and rock phosphate. The resulting compost is suitable for application in all types of crops.</t>
  </si>
  <si>
    <t>Coir processing industries and coir pith management units
Organic fertilizer and soil amendment manufacturers
Commercial agriculture and horticulture enterprises
Farmer producer organizations (FPOs) and agricultural cooperatives
Sustainable farming and integrated nutrient management programs</t>
  </si>
  <si>
    <t>coir pith, compost</t>
  </si>
  <si>
    <t>CPCRI-006</t>
  </si>
  <si>
    <t>Liquid Organic Fertilizer from Coconut Leaf Vermicompost</t>
  </si>
  <si>
    <t>Liquid Fertilizer</t>
  </si>
  <si>
    <t>Kalpa Vermiwash is a liquid organic fertilizer extracted from the active vermicomposting of coconut leaves. The fertilizer is diluted before application and can be used for field and horticultural crops, particularly vegetables</t>
  </si>
  <si>
    <t>Organic fertilizer and bio-input manufacturing companies
Vegetable cultivation and horticulture enterprises
Organic farming and sustainable agriculture initiatives
Agricultural cooperatives and farmer producer organizations (FPOs)
Nursery, landscaping, and protected cultivation sectors</t>
  </si>
  <si>
    <t>vermiwash, fertilizer</t>
  </si>
  <si>
    <t>CPCRI-007</t>
  </si>
  <si>
    <t>Microbial Biofertilizer for Healthy Coconut Seedlings</t>
  </si>
  <si>
    <t xml:space="preserve">Biofertilizer Technology
</t>
  </si>
  <si>
    <t>Challenges in raising healthy coconut seedlings.</t>
  </si>
  <si>
    <t>KeraProbio® is a microbial biofertilizer formulated using Bacillus megaterium, a rhizobacterium with multiple plant growth-promoting properties isolated from healthy coconut palms. The microorganism is mixed with talc powder to prepare the formulation. Its application helps in raising healthy coconut seedlings</t>
  </si>
  <si>
    <t>Coconut seedling production and nursery management
Biofertilizer application in coconut cultivation
Sustainable nutrient management in plantations
Organic and eco-friendly agricultural practices
Plant growth promotion and root development programs</t>
  </si>
  <si>
    <t>PGPR, biofertilizer</t>
  </si>
  <si>
    <t>CPCRI-008</t>
  </si>
  <si>
    <t>Coconut Embryo Culture Technology</t>
  </si>
  <si>
    <t>Biotechnology &amp; Life Sciences</t>
  </si>
  <si>
    <t>Agricultural Biotechnology</t>
  </si>
  <si>
    <t>Safe exchange and propagation of special coconut germplasm.</t>
  </si>
  <si>
    <t>The Coconut Embryo Culture protocol permits safe germplasm exchange and enables the propagation of special types of coconut (soft and sweet endosperm type).</t>
  </si>
  <si>
    <t>Coconut breeding and germplasm conservation programs
Plant tissue culture and micropropagation laboratories
Agricultural research institutions and universities
Coconut seedling production nurseries
Coconut development agencies and plantation sector organizations</t>
  </si>
  <si>
    <t>embryo culture</t>
  </si>
  <si>
    <t>CPCRI-009</t>
  </si>
  <si>
    <t>Coconut Pollen Cryopreservation</t>
  </si>
  <si>
    <t>Long-term preservation of coconut pollen</t>
  </si>
  <si>
    <t>A simple and user-friendly protocol for the cryopreservation of coconut pollen. The method facilitates the breeding of programmes involving high-yielding palms and can be effectively utilized in breeding programmes and in vitro studies</t>
  </si>
  <si>
    <t>Coconut breeding and hybrid development programs
Long-term storage of elite coconut pollen
Germplasm conservation and genetic resource management
In vitro research and plant biotechnology studies
Development of high-yielding coconut varieties</t>
  </si>
  <si>
    <t>cryopreservation</t>
  </si>
  <si>
    <t>CPCRI-010</t>
  </si>
  <si>
    <t>Coconut Inflorescence Tissue Culture</t>
  </si>
  <si>
    <t>Tissue Culture</t>
  </si>
  <si>
    <t>Challenges in producing uniform clones from elite coconut palms</t>
  </si>
  <si>
    <t xml:space="preserve">The Immature Inflorescence Tissue Culture protocol can producr uniform clones of elite palms. </t>
  </si>
  <si>
    <t>Commercial coconut seedling and planting material nurseries
Plant tissue culture and micropropagation laboratories
Coconut breeding and elite germplasm multiplication programs
Agricultural research institutions and biotechnology centers
Coconut plantation companies and development agencies</t>
  </si>
  <si>
    <t>tissue culture</t>
  </si>
  <si>
    <t>CPCRI-011</t>
  </si>
  <si>
    <t xml:space="preserve">Immature Inflorescence Tissue Culture Technology in Arecanut </t>
  </si>
  <si>
    <t>Dwarf hybrid and YLD-resistant arecanut multiplication</t>
  </si>
  <si>
    <t xml:space="preserve">This protocol enables the mass multiplication of dwarf areca hybrids and YLD disease-resistant palms.
</t>
  </si>
  <si>
    <t>Arecanut planting material production nurseries
Plant tissue culture and micropropagation laboratories
Arecanut breeding and elite cultivar multiplication programs
Agricultural biotechnology companies and research institutions
Arecanut plantation enterprises and development agencies</t>
  </si>
  <si>
    <t>arecanut, tissue culture</t>
  </si>
  <si>
    <t>CPCRI-012</t>
  </si>
  <si>
    <t>Coconut Hybrid Identification (Molecular Marker-Based)</t>
  </si>
  <si>
    <t>Molecular Diagnostics</t>
  </si>
  <si>
    <t>Challenges in verifying hybrid status at the nursery stage.</t>
  </si>
  <si>
    <t xml:space="preserve">Molecular markers developed assists in screening the progenies from the crosses of the parental palms to confirm their hybrid nature in the nursery itself. Use of these markers will ensure supply of genuine hybrid seedlings to farmers.
</t>
  </si>
  <si>
    <t>Coconut seedling production and certification nurseries
Coconut breeding and hybrid development programs
Agricultural biotechnology and molecular diagnostics laboratories
Coconut development agencies and quality assurance programs
Agricultural research institutions and plantation sector organizations</t>
  </si>
  <si>
    <t>DNA marker, hybrid</t>
  </si>
  <si>
    <t>CPCRI-013</t>
  </si>
  <si>
    <t>Biological Pest Control Technology for Arecanut Farms</t>
  </si>
  <si>
    <t>Crop Protection</t>
  </si>
  <si>
    <t>Need for environmentally safe and sustainable pest control in arecanut farms.</t>
  </si>
  <si>
    <t>Kalpa EPN Aqua Formulation Technology involves the production of entomopathogenic nematodes (EPN) and their host insect, Galleria mellonella, along with the packaging of nematodes. The technology facilitates the production of fresh quantities of EPN as required, promoting environmentally safe and sustainable pest control in arecanut farms.</t>
  </si>
  <si>
    <t>Biological pest management in arecanut plantations
Production of eco-friendly biocontrol agents
Integrated pest management (IPM) programs
Sustainable crop protection practices
Commercial production and supply of entomopathogenic nematodes</t>
  </si>
  <si>
    <t>aqua formulation</t>
  </si>
  <si>
    <t>CPCRI-014</t>
  </si>
  <si>
    <t>Trichoderma-Coir Pith Cake Biocontrol Technology</t>
  </si>
  <si>
    <t>Biocontrol Agent</t>
  </si>
  <si>
    <t>Affordable management of bud rot, stem canker, and soil-borne diseases in crops.</t>
  </si>
  <si>
    <t xml:space="preserve">Technology on Trichoderma coir pith cake production is simple and low- cost technology with a shelf life of one year. This formulation is very easy to handle and apply in the crowns of coconut palms as a prophylactic treatment against bud rot and in the management of stem canker of cocoa and also for the management of soil-borne diseases in potted plants.
</t>
  </si>
  <si>
    <t>Biopesticide and agricultural bio-input manufacturers
Coconut, cocoa, and plantation crop cultivation enterprises
Organic farming and sustainable agriculture initiatives
Nursery, greenhouse, and potted plant production units
Agricultural extension agencies and farmer producer organizations (FPOs)</t>
  </si>
  <si>
    <t>Trichoderma</t>
  </si>
  <si>
    <t>CPCRI-015</t>
  </si>
  <si>
    <t>Trichoderma Mass Production Technology Using Areca Leaf Sheath</t>
  </si>
  <si>
    <t>Biocontrol Production Technology</t>
  </si>
  <si>
    <t>Cost-effective mass production of Trichoderma harzianum</t>
  </si>
  <si>
    <r>
      <rPr>
        <rFont val="Arial"/>
        <color theme="1"/>
      </rPr>
      <t xml:space="preserve">Trichoderma multiplication using areca leaf sheath is a very simple, cost-effective technology for rapid mass production of </t>
    </r>
    <r>
      <rPr>
        <rFont val="Arial"/>
        <i/>
        <color theme="1"/>
      </rPr>
      <t>Trichoderma harzianum</t>
    </r>
    <r>
      <rPr>
        <rFont val="Arial"/>
        <color theme="1"/>
      </rPr>
      <t xml:space="preserve"> (CPTD 28). Trichoderma enriched areca leaf sheath can be effectively utilized for eco-friendly management of stem bleeding and basal stem rot diseases of coconut and also for quick wilt disease of black pepper
</t>
    </r>
  </si>
  <si>
    <t>Trichoderma, areca sheath</t>
  </si>
  <si>
    <t>CTCRI-001</t>
  </si>
  <si>
    <t>Technology for Fried Snacks and Chips from Cassava</t>
  </si>
  <si>
    <t>ICAR-Central Tuber Crops Research Institute (CTCRI) Thiruvananthapuram</t>
  </si>
  <si>
    <t>Cassava (Tapioca) value addition</t>
  </si>
  <si>
    <t>Technologies include Tapioca hot fries, tapioca hot sticks, tapioca pakkavada (salty fries), salty delight, tapioca murukku, tapioca crisps, tapioca nutrichips (with egg) and tapioca nutrichips (without egg) and fried chips from tapioca and sweet potato. Prepared using composite flour based on cassava and has high nutritional and textural quality &amp; longer shelf life.</t>
  </si>
  <si>
    <t>Snack food manufacturing companies
Cassava and root crop processing enterprises
Ready-to-eat food product startups
Food processing MSMEs and agri-entrepreneurs
Institutional food suppliers and export-oriented snack food businesses</t>
  </si>
  <si>
    <t>tapioca chips</t>
  </si>
  <si>
    <t>https://drive.google.com/file/d/18k5da58rgVPZQzMpIgEpe-pyQJXQqt01/view?usp=drive_link</t>
  </si>
  <si>
    <t>CTCRI-002</t>
  </si>
  <si>
    <t>Functional Noodles from Cassava and Sweet Potato</t>
  </si>
  <si>
    <t>Functional Food</t>
  </si>
  <si>
    <t>Functional Gluten-Free Noodles from Sweet Potato and Cassava (Tapioca)</t>
  </si>
  <si>
    <t xml:space="preserve">Functional noodles were prepared from sweet potato/ cassava starch by fortifying them with ingredients such as resistant starch and fibers. These noodles have a medium glycaemic index. Starch noodles developed from tuber starches such as cassava and Sweet potatoes are essentially gluten-free and hence an ideal choice for celiac patients.
A source of protein 20% retention in cooked sweet potato noodles.
</t>
  </si>
  <si>
    <t>Functional and health food manufacturing companies
Gluten-free and specialty food product manufacturers
Nutraceutical and wellness food enterprises
Cassava and sweet potato processing industries
Institutional catering, healthcare nutrition, and diabetic-friendly food providers</t>
  </si>
  <si>
    <t>noodles, cassava</t>
  </si>
  <si>
    <t>https://drive.google.com/file/d/1EZmUdfKdBz6lhkbdP6XcqZozGOxeoO8o/view?usp=sharing</t>
  </si>
  <si>
    <t>CTCRI-003</t>
  </si>
  <si>
    <t>Functional Pasta from Cassava (Gluten free)</t>
  </si>
  <si>
    <t>Need for gluten-free pasta with improved nutritional value.</t>
  </si>
  <si>
    <t>The fortified pasta (whey protein, betanine, dietary fibre) prepared from cassava (Tapioca) is gluten-free, has a medium glycemic index and provides 10 - 15% additional protein and fibre.</t>
  </si>
  <si>
    <t>Gluten-free and specialty food manufacturers
Functional and fortified food product companies
Nutraceutical and wellness food enterprises
Cassava processing and value-addition industries
Healthcare nutrition, institutional catering, and diabetic-friendly food providers</t>
  </si>
  <si>
    <t>pasta, cassava</t>
  </si>
  <si>
    <t>https://drive.google.com/file/d/1suQEvA-P7tWwrPBd1Cg5rCBOSslnhoXF/view?usp=sharing</t>
  </si>
  <si>
    <t>CTCRI-004</t>
  </si>
  <si>
    <t>Nutrient Enriched Pasta from Orange-Fleshed Sweet Potato</t>
  </si>
  <si>
    <t>Need for β-carotene-rich food products.</t>
  </si>
  <si>
    <t>Orange-fleshed sweet potato is rich in β-Carotene, a precursor of Vitamin A. High carotene content can help to combat Vitamin A deficiency.Pasta made from orange fleshed sweet potato which has high β-carotene and lysine content compared to wheat pasta, good swelling index after cooking, and a high amount of resistant Starch.</t>
  </si>
  <si>
    <t xml:space="preserve">Functional and fortified food manufacturing companies
Nutraceutical and health food product enterprises
Sweet potato processing and value-addition industries
School nutrition, public health, and food supplementation programs
Healthcare nutrition providers and institutional catering services
</t>
  </si>
  <si>
    <t>sweet potato, beta carotene</t>
  </si>
  <si>
    <t>https://drive.google.com/file/d/1E13Kf90gua9FQeP53cbIyv496KcteN9Z/view?usp=sharing</t>
  </si>
  <si>
    <t>CTCRI-005</t>
  </si>
  <si>
    <t>Cassava Resistant Starch Technology</t>
  </si>
  <si>
    <t>Challenges in storage and export of cassava and tuber products.</t>
  </si>
  <si>
    <t>Quick-cooking dehydrated cassava and Amorphophallus tubers were developed to reduce bulkiness during export and to increase the shelf life of the product with a cooking time of only 3-6 minutes, depending on the tubers</t>
  </si>
  <si>
    <t>Cassava and tuber crop processing industries
Convenience food and ready-to-cook product manufacturers
Export-oriented food processing enterprises
Food processing MSMEs and agri-entrepreneurs
Institutional catering and bulk food supply providers</t>
  </si>
  <si>
    <t>resistant starch</t>
  </si>
  <si>
    <t>https://drive.google.com/file/d/140oqYWgwKX9A181M4wd4WKnT4-nNwPwU/view?usp=sharing</t>
  </si>
  <si>
    <t>CTCRI-006</t>
  </si>
  <si>
    <t>Wax Coating Technology for Cassava Tubers</t>
  </si>
  <si>
    <t xml:space="preserve">Post-Harvest Preservation Technology,
Food Packaging Technology,
Storage Technology </t>
  </si>
  <si>
    <t>Short shelf life of fresh cassava roots during storage and transportation.</t>
  </si>
  <si>
    <t xml:space="preserve">The surface coating of cassava roots is done by dipping them in hot/molten paraffin wax/other suitable wax and drying them on a bench before packaging them into boxes This technology helps the processors and traders to store, transport and sell fresh cassava roots to distant places for an extended period upto 1or 2 months and increased profitability
</t>
  </si>
  <si>
    <t xml:space="preserve">Cassava processing and value-addition industries
Fresh produce storage, packaging, and logistics companies
Agricultural export and trading enterprises
Farmer producer organizations (FPOs) and agricultural cooperatives
Root and tuber crop marketing and supply chain businesses
</t>
  </si>
  <si>
    <t>wax coating</t>
  </si>
  <si>
    <t>https://drive.google.com/file/d/11K7r3G5yxc4wRwdbuy5TNArGVRWAhhO8/view?usp=sharing</t>
  </si>
  <si>
    <t>CTCRI-007</t>
  </si>
  <si>
    <t>Super Absorbent Polymer from Cassava Starch</t>
  </si>
  <si>
    <t>Advanced Materials &amp; Chemicals</t>
  </si>
  <si>
    <t>Polymer Technology</t>
  </si>
  <si>
    <t>Low soil water retention during drought and moisture-stress conditions.</t>
  </si>
  <si>
    <t xml:space="preserve">Semi-synthetic super absorbent polymer (SAP) prepared from cassava starch.The addition of hydrogel to the soil and irrigating field at an interval of once in three days could increase the porosity and water holding capacity of the soil while maintaining higher nutrient levels for better plant growth.The SAP is a useful soil additive during drought and other moisture-stress conditions
</t>
  </si>
  <si>
    <t>Soil moisture retention in agricultural fields
Drought management in rainfed farming systems
Water-efficient cultivation of horticultural crops
Soil conditioning and nutrient retention enhancement
Sustainable irrigation and water conservation programs</t>
  </si>
  <si>
    <t>polymer, starch</t>
  </si>
  <si>
    <t>https://drive.google.com/file/d/1q5CNKf9Besd8O_DwDMh435IjzBhHMy8R/view?usp=drive_link</t>
  </si>
  <si>
    <t>CTCRI-008</t>
  </si>
  <si>
    <t>Micronutrient Foliar Formulations for Tuber Crop Management</t>
  </si>
  <si>
    <t>Agriculture</t>
  </si>
  <si>
    <t>Crop Nutrition</t>
  </si>
  <si>
    <t>Site-specific micronutrient imbalances affecting tuber crop productivity.</t>
  </si>
  <si>
    <t xml:space="preserve">Five micronutrient formulations were developed through soil inventorisation, analysis of soil and plant samples and Site-
Specific Nutrient Management experiments and modeling studies conducted under different situations. They are
i. Cassava in acid soils (Zn, B)
ii. Cassava in neutral to alkaline soils (Fe, Mn, Zn, Cu)
iii. Elephant foot yam (Zn, B, Fe, Mn, Cu)
iv. Yams (Zn, B, Mn, Fe, Cu)
v. Sweet potato (Zn, B)
</t>
  </si>
  <si>
    <t>Micronutrient fertilizer and specialty plant nutrition manufacturers
Cassava, sweet potato, yam, and elephant foot yam cultivation enterprises
Agricultural input companies and crop advisory service providers
Farmer producer organizations (FPOs) and agricultural cooperatives
Government agriculture departments and sustainable crop productivity programs</t>
  </si>
  <si>
    <t>foliar spray</t>
  </si>
  <si>
    <t>CTCRI-009</t>
  </si>
  <si>
    <t>IoT-Based Crop Monitoring and Agro-Advisory System</t>
  </si>
  <si>
    <t>Digital Technologies, AI &amp; Software</t>
  </si>
  <si>
    <t>Software Platform</t>
  </si>
  <si>
    <t>Data-driven decisions on irrigation, fertilization, and crop management.</t>
  </si>
  <si>
    <t xml:space="preserve">The Electronic Crop (E Crop) is an IoT technology that simulates crop growth in response to weather and soil parameters and also generates an agro-advisory that is sent to the farmer’s mobile by SMS. Based on the climate and soil data, it calculates the requirements of fertilizers, water, agronomic and cultural practices to be followed to get more yield. Using sensors, the solar-powered device collects real-time data on the maximum and minimum temperature, solar radiation, relative humidity, precipitation, soil moisture content, wind velocity, and wind direction. The data are sent to a central server through a modem and run through a simulator to generate the advisory
</t>
  </si>
  <si>
    <t>Precision agriculture and smart farming enterprises
Agricultural input companies and agro-advisory service providers
Farmer producer organizations (FPOs) and agricultural cooperatives
Government agriculture departments and extension service programs
Commercial farms, plantations, and climate-smart agriculture initiatives</t>
  </si>
  <si>
    <t>agritech, advisory</t>
  </si>
  <si>
    <t>CTCRI-010</t>
  </si>
  <si>
    <t>SPOTCOMS: Crop Monitoring and Yield Prediction System</t>
  </si>
  <si>
    <t>Simulation Model</t>
  </si>
  <si>
    <t>Crop yield prediction</t>
  </si>
  <si>
    <t>SPOTCOMS is a growth simulation model of sweet potato which predicts the crop phenology in response to environmental factors.It mimics the growth and development of sweet potato and helps to study crop growth and to calculate growth responses to the environment.This model is validated for nearly 30 Indian varieties and other varieties of Uganda, Indonesia, Vietnam, China and the Philippines</t>
  </si>
  <si>
    <t>Agricultural research institutions and crop modeling centers
Precision agriculture and digital farming solution providers
Government agriculture departments and crop forecasting programs
Sweet potato breeding and varietal evaluation programs
Farmer producer organizations (FPOs), commercial farms, and agro-advisory service providers</t>
  </si>
  <si>
    <t>simulation, forecasting</t>
  </si>
  <si>
    <t>CTCRI-011</t>
  </si>
  <si>
    <t>Multipurpose Mobile Starch Extractor</t>
  </si>
  <si>
    <t>Agro-Industrial Machinery,
Post-Harvest Processing Equipment</t>
  </si>
  <si>
    <t>Difficulty in transporting and marketing perishable tropical tuber crops and farmers' produce</t>
  </si>
  <si>
    <t>The multipurpose mobile starch extractor is designed to address the challenges associated with the perishable nature of tropical tuber crops and the difficulties in long-distance transportation and marketing. The machine enables in-situ production of starch and value addition near the farm site, helping farmers process their produce locally and reduce post-harvest constraints.</t>
  </si>
  <si>
    <t>Cassava and tropical tuber crop processing enterprises
Farmer producer organizations (FPOs) and agricultural cooperatives
Agri-entrepreneurs and rural value-addition startups
Starch manufacturing and food ingredient industries
Government-supported agro-processing and post-harvest management programs</t>
  </si>
  <si>
    <t>starch extractor, tuber crops, farm processing, value addition, mobile equipment, cassava, starch production</t>
  </si>
  <si>
    <t>CTCRI-012</t>
  </si>
  <si>
    <t>Cassava Chipping Machine</t>
  </si>
  <si>
    <t>MedTech &amp; Health Care</t>
  </si>
  <si>
    <t xml:space="preserve">Cassava Processing Equipment,
Chipping Machine Technology,
Post-Harvest Processing Equipment
</t>
  </si>
  <si>
    <t>Short shelf life of cassava tubers limiting transportation and market access</t>
  </si>
  <si>
    <t>The shorter shelf life of cassava tubers (up to 7 days in ambient conditions) limits their marketability and prevents farmers from transporting them to long-distance markets to obtain good prices.The cassava chipping machine helps the farmers to extend the shelf life of cassava tubers in dried form.</t>
  </si>
  <si>
    <t>Cassava processing and value-addition enterprises
Farmer producer organizations (FPOs) and agricultural cooperatives
Agri-entrepreneurs and rural processing units
Animal feed and starch manufacturing industries
Government-supported post-harvest management and agro-processing programs</t>
  </si>
  <si>
    <t>cassava, chipping machine, shelf life extension, drying, processing, market access, tuber crops</t>
  </si>
  <si>
    <t>CTCRI-013</t>
  </si>
  <si>
    <t>Biofortified Varieties of Tuber Crops</t>
  </si>
  <si>
    <t>Biofortification Technology,
Plant Breeding Technology,
Nutritionally Enhanced Crop Technology</t>
  </si>
  <si>
    <t>Vitamin A deficiency and limited access to nutrient-rich foods</t>
  </si>
  <si>
    <t>Orange-fleshed sweet potato varieties contain Beta-carotene, a precursor of Vitamin A Low cost and natural way of combating Vitamin A deficienc</t>
  </si>
  <si>
    <t>Sweet potato seed and planting material production agencies
Public health and nutrition improvement programs
Farmer producer organizations (FPOs) and agricultural cooperatives
School feeding, community nutrition, and food security initiatives
Food processing industries developing nutrient-enriched products</t>
  </si>
  <si>
    <t>biofortified crops, sweet potato, beta carotene, vitamin A, nutrition, tuber crops, agriculture</t>
  </si>
  <si>
    <t>CTCRI-014</t>
  </si>
  <si>
    <t>CTCRI Bioformulations with Pesticidal Action</t>
  </si>
  <si>
    <t>Biopesticide ,Biocontrol Technology,
Biological Crop Protection Technology</t>
  </si>
  <si>
    <t>Need for environmental friendly pest management solutions</t>
  </si>
  <si>
    <t xml:space="preserve">Bioformulations with pesticidal action developed are intended for crop protection and pest management applications. </t>
  </si>
  <si>
    <t>Biopesticide and agricultural bio-input manufacturers
Organic farming and sustainable agriculture enterprises
Agricultural input companies and crop protection service providers
Farmer producer organizations (FPOs) and agricultural cooperatives
Government agriculture departments and integrated pest management (IPM) programs</t>
  </si>
  <si>
    <t>Patent Status</t>
  </si>
  <si>
    <t>biopesticide, bioformulation, pest management, crop protection, agriculture, sustainable farming</t>
  </si>
  <si>
    <t>NIIST-001</t>
  </si>
  <si>
    <t>Ready to Cook Tubers, Starchy Vegetables and Pulse</t>
  </si>
  <si>
    <t>CSIR-National Institute for Interdisciplinary Science and Technology (NIIST)</t>
  </si>
  <si>
    <t>Convenience Food Technology,
Functional Food Processing Technology,
Value-Added Food Product Technology</t>
  </si>
  <si>
    <t>Time-consuming preparation of nutritious regional foods and changing dietary habits leading to nutrient deficiencies</t>
  </si>
  <si>
    <t>This technology enables the production of ready-to-cook foods from regional crops rich in carbohydrates, micronutrients, and phytochemicals. It is designed to reduce cooking time while retaining the nutritional value of traditional foods. The products help meet nutritional requirements with less effort in the kitchen and support convenient consumption of healthy regional foods.</t>
  </si>
  <si>
    <t>Ready-to-cook and convenience food manufacturers
Food processing MSMEs and agri-food startups
Institutional catering and food service providers
Retail and community nutrition programs
Farmer producer organizations (FPOs) and value-addition enterprises for regional crops</t>
  </si>
  <si>
    <t>ready-to-cook, tubers, vegetables, pulses, nutrition, convenience food, phytochemicals, regional crops</t>
  </si>
  <si>
    <t>https://drive.google.com/file/d/11oU89lmp8Rd9yvO83eiHGOdKSVqAMBbZ/view?usp=drive_link</t>
  </si>
  <si>
    <t>NIIST-002</t>
  </si>
  <si>
    <t>Value Added Syrups from Palm Neera and Coconut Neera</t>
  </si>
  <si>
    <t>Food Product Technology</t>
  </si>
  <si>
    <t>Limited value-added utilization of palm and coconut sap</t>
  </si>
  <si>
    <t>This technology produces syrups from palm and coconut sap that can be used for sweetening beverages and food products. The process can also be adapted for sugar-free syrup production using sugarcane juice and sugar substitutes. The products are prepared without preservatives and use various additives only for clarification and solidification purposes.</t>
  </si>
  <si>
    <t>Coconut and palm sap processing enterprises
Natural sweetener and specialty ingredient manufacturers
Beverage, bakery, and confectionery product companies
Health food, wellness, and nutraceutical brands
Farmer producer organizations (FPOs) and agri-entrepreneurs engaged in value-added palm and coconut products</t>
  </si>
  <si>
    <t>palm neera, coconut neera, syrup, sweetener, food products, sugar-free syrup</t>
  </si>
  <si>
    <t>NIIST-003</t>
  </si>
  <si>
    <t>Modular Onsite Wastewater Treatment Cum Resource Recovery Unit</t>
  </si>
  <si>
    <t>Energy, Climate &amp; Sustainability</t>
  </si>
  <si>
    <t>Wastewater Treatment Technology</t>
  </si>
  <si>
    <t>Treatment of organic-rich wastewater and recovery of useful resources from small establishments</t>
  </si>
  <si>
    <t>This modular unit is designed to treat organic-rich wastewater generated from small establishments while enabling resource recovery. The system supports the production of reusable water and bioenergy and has been field tested. It is suitable for implementation in locations such as canteens, restaurants, agro-based MSMEs, and community facilities.</t>
  </si>
  <si>
    <t>Restaurants, hotels, and institutional kitchens
Agro-processing units and food-based MSMEs
Residential communities and apartment complexes
Local self-government bodies and community sanitation projects
Industrial estates and decentralized wastewater management facilities</t>
  </si>
  <si>
    <t>wastewater treatment, resource recovery, bioenergy, water reuse, MSME, organic waste</t>
  </si>
  <si>
    <t>NIIST-004</t>
  </si>
  <si>
    <t>Biodegradable Cutleries, Cups, Glass and Plates from Agricultural Residues</t>
  </si>
  <si>
    <t>Biodegradable Product Technology</t>
  </si>
  <si>
    <t>Dependence on single-use plastic tableware and disposal challenges</t>
  </si>
  <si>
    <t>This technology produces biodegradable cutleries, cups, glasses, and plates from agricultural residues including wheat bran, sugarcane bagasse, rice husk, and fruit peels. The products are heat resistant for a limited duration and can be used as alternatives to single-use plastics. The material is biodegradable and suitable for food service applications.</t>
  </si>
  <si>
    <t>Sustainable packaging and biodegradable product manufacturers
Food service, catering, and hospitality businesses
Event management and disposable tableware suppliers
Agro-residue utilization and circular economy enterprises
Government agencies and organizations promoting plastic-free initiatives</t>
  </si>
  <si>
    <t>biodegradable tableware, bagasse, rice husk, wheat bran, fruit peels, sustainable materials</t>
  </si>
  <si>
    <t>https://drive.google.com/file/d/19dUseGXZ6XJTUKNvaxr-5aMb-HfMAEHw/view?usp=drive_link</t>
  </si>
  <si>
    <t>NIIST-005</t>
  </si>
  <si>
    <t>Fresh Ginger Processing Technology</t>
  </si>
  <si>
    <t>Long processing time, high energy consumption, and quality loss during ginger processing</t>
  </si>
  <si>
    <t>This processing technology is suitable for fresh ginger harvested under North East Indian climatic conditions. It enables the production of high-quality ginger products with fresh aroma and improved flavour. The process reduces processing time and energy consumption while avoiding the use of toxic chemicals. It is intended to support efficient spice processing and value addition.</t>
  </si>
  <si>
    <t>Spice processing and value-addition enterprises
Ginger producer companies and farmer producer organizations (FPOs)
Food ingredient and seasoning manufacturers
Herbal, nutraceutical, and wellness product companies
Agri-food startups and export-oriented spice processing units</t>
  </si>
  <si>
    <t>ginger processing, spices, aroma retention, food processing, energy efficient, value addition</t>
  </si>
  <si>
    <t>https://drive.google.com/file/d/1rl9K59pAD9OfPGL0dzZ0ZV_3kBkLsxur/view?usp=drive_link</t>
  </si>
  <si>
    <t>NIIST-006</t>
  </si>
  <si>
    <t>Weather Resistant Coir for Construction Applications</t>
  </si>
  <si>
    <t>Infrastructure, Construction &amp; Smart Cities</t>
  </si>
  <si>
    <t>Coir-Based Material Technology</t>
  </si>
  <si>
    <t>High maintenance and replacement requirements of conventional coir materials used in erosion control and construction</t>
  </si>
  <si>
    <t>This weather-resistant coir material is intended for use in construction and erosion-control applications. It provides improved strength and durability while reducing the need for frequent replacement. The treatment process is designed to be cost-effective compared with conventional geotextile treatment methods.</t>
  </si>
  <si>
    <t>Civil construction and infrastructure development companies
Erosion control and slope stabilization projects
Road, railway, and riverbank protection works
Coir geotextile manufacturers and eco-material producers
Government agencies and environmental restoration programs</t>
  </si>
  <si>
    <t>coir, geotextile, erosion control, construction material, weather resistant, soil stabilization</t>
  </si>
  <si>
    <t>NIIST-007</t>
  </si>
  <si>
    <t>Biodegradable Lignocellulose Fibre-Based Mulching Mats and Sheets</t>
  </si>
  <si>
    <t>Agricultural Material Technology</t>
  </si>
  <si>
    <t>Weed growth, soil moisture loss, soil erosion, and dependence on non-biodegradable mulching materials</t>
  </si>
  <si>
    <t>These biodegradable mulching mats and sheets are produced from lignocellulosic fibres and are designed for agricultural use. The materials help reduce evaporation, support drip irrigation, suppress weed growth, and improve soil conditions. They offer an alternative to plastic-based mulching materials while supporting crop growth and field management practices.</t>
  </si>
  <si>
    <t>Horticulture and commercial crop cultivation enterprises
Organic farming and sustainable agriculture initiatives
Nursery, landscaping, and plantation management sectors
Agricultural input and biodegradable agri-material manufacturers
Government agriculture departments and soil conservation programs</t>
  </si>
  <si>
    <t>mulching mats, lignocellulose, biodegradable materials, agriculture, weed control, moisture retention</t>
  </si>
  <si>
    <t>NIIST-008</t>
  </si>
  <si>
    <t>Process for Preparation of White Pepper</t>
  </si>
  <si>
    <t>Microbial Food Processing Technology,
Spice Processing Technology</t>
  </si>
  <si>
    <t>Time-consuming traditional white pepper processing and quality inconsistency</t>
  </si>
  <si>
    <t>This process provides a method for producing white pepper from black pepper using a microbial bioprocess. The technology is designed to selectively remove the pectin layer surrounding the peppercorn while preserving quality. The process reduces processing time compared with conventional methods and supports efficient white pepper production.</t>
  </si>
  <si>
    <t>Spice processing and value-addition industries
Pepper producer companies and farmer cooperatives
Export-oriented spice manufacturing enterprises
Food ingredient and seasoning manufacturers
Agri-food startups and specialty spice product companies</t>
  </si>
  <si>
    <t>white pepper, pepper processing, microbial process, spice industry, food processing</t>
  </si>
  <si>
    <t>NIIST-009</t>
  </si>
  <si>
    <t>Bio Filter Technology for Industrial Odour Control</t>
  </si>
  <si>
    <t>Air Pollution Control Technology</t>
  </si>
  <si>
    <t>This biofilter technology is designed for the treatment of odorous gaseous streams generated by industrial activities. The system uses specially selected microorganisms and supporting materials to neutralize pollutants and reduce airborne contaminants. It has been implemented in industrial applications and is intended for long-term odour management and environmental improvement.</t>
  </si>
  <si>
    <t>Wastewater treatment plants and solid waste management facilities
Food processing, rendering, and agro-based industries
Chemical, pharmaceutical, and industrial manufacturing units
Municipal corporations and environmental management agencies
Industrial parks and pollution control infrastructure projects</t>
  </si>
  <si>
    <t>biofilter, odour control, air pollution, industrial emissions, microorganisms, environmental technology</t>
  </si>
  <si>
    <t>KUFOS-001</t>
  </si>
  <si>
    <t>Cost-Effective Tilapia Feed Using Cashew Nut Meal</t>
  </si>
  <si>
    <t>Kerala University of Fisheries and Ocean Studies (KUFOS)</t>
  </si>
  <si>
    <t>Aqua Feed Technology</t>
  </si>
  <si>
    <t>High feed cost and dependence on fish meal in tilapia farming</t>
  </si>
  <si>
    <t>This feed formulation replaces 50% of soybean meal with cashew nut meal in the diet of tilapia. Cashew nut meal is identified as a lower-cost alternative to fish meal and was found suitable at specific inclusion levels. The formulation also demonstrated favorable economic conversion characteristics, making it a potential feed option for tilapia culture.</t>
  </si>
  <si>
    <t>Aquaculture feed manufacturing companies
Tilapia farming and freshwater aquaculture enterprises
Integrated fish farming and agri-aquaculture ventures
Fisheries cooperatives and farmer producer organizations (FPOs)
Government fisheries departments and aquaculture development programs</t>
  </si>
  <si>
    <t>tilapia feed, aquaculture, cashew nut meal, fish meal replacement, aquafeed, fish farming</t>
  </si>
  <si>
    <t>KUFOS-002</t>
  </si>
  <si>
    <t xml:space="preserve">Marine Fibre-Enriched Bread </t>
  </si>
  <si>
    <t>Functional Food Product</t>
  </si>
  <si>
    <t>Need for fibre-enriched bakery products with improved nutritional value</t>
  </si>
  <si>
    <t>This bread is prepared using fibre-rich material derived from osmotically dehydrated snake gourd and carrageenan processing residues. The product incorporates marine fibre to enhance nutritional value while maintaining the characteristics of a conventional bakery product. It offers an alternative approach for developing fibre-enriched foods.</t>
  </si>
  <si>
    <t>Bakery and functional food manufacturing companies
Health food and nutraceutical product enterprises
Institutional catering and healthcare nutrition providers
Food processing industries utilizing marine and plant-based ingredients
Agri-food startups developing value-added and fortified food products</t>
  </si>
  <si>
    <t>marine fibre, bread, bakery products, functional food, carrageenan, nutrition</t>
  </si>
  <si>
    <t>KUFOS-003</t>
  </si>
  <si>
    <t>Marine Fibre Rich Biscuit</t>
  </si>
  <si>
    <t>Limited availability of fibre-rich snack products with enhanced nutritional properties</t>
  </si>
  <si>
    <t>These biscuits incorporate marine carrageenan-derived fibre to improve nutritional characteristics. The product exhibits antioxidant properties and consumer acceptability while increasing dietary fibre content. The biscuits can be packaged and stored with an extended shelf life under suitable conditions.</t>
  </si>
  <si>
    <t>Biscuit and bakery product manufacturers
Functional and fortified food manufacturing companies
Health food and nutraceutical product enterprises
Institutional catering and wellness nutrition providers
Agri-food startups developing fibre-enriched snack products</t>
  </si>
  <si>
    <t>marine fibre, biscuit, carrageenan, antioxidants, bakery products, dietary fibre</t>
  </si>
  <si>
    <t>KUFOS-004</t>
  </si>
  <si>
    <t>Multi Millet Cookies</t>
  </si>
  <si>
    <t>Limited availability of nutritionally enriched snack foods</t>
  </si>
  <si>
    <t>These cookies are prepared using multiple millets and palm jaggery as a natural sweetener. The product contains fibre, iron, and other minerals, while ingredients such as curry leaf and curcumin contribute additional nutritional properties. Carrageenan is included to improve fibre content, resulting in a nutritionally enhanced cookie product.</t>
  </si>
  <si>
    <t>Bakery and healthy snack food manufacturers
Millet-based food processing enterprises
Functional and fortified food product companies
School nutrition, wellness, and institutional catering programs
Agri-food startups developing value-added millet products</t>
  </si>
  <si>
    <t>millet cookies, palm jaggery, healthy snacks, fibre, minerals, bakery products</t>
  </si>
  <si>
    <t>KUFOS-005</t>
  </si>
  <si>
    <t>Fish Gelatin Based Marshmallow</t>
  </si>
  <si>
    <t>Confectionery Technology</t>
  </si>
  <si>
    <t>Limited alternatives to conventional gelatin sources in confectionery products</t>
  </si>
  <si>
    <t>This marshmallow utilizes fish gelatin, a multifunctional ingredient known for its foaming and whipping properties. The incorporation of fish gelatin provides the product with a spongy texture and contributes to protein content. The technology demonstrates the use of fish-derived ingredients in confectionery applications.</t>
  </si>
  <si>
    <t>Confectionery and candy manufacturing companies
Fish processing and marine by-product utilization enterprises
Functional and protein-enriched food manufacturers
Food ingredient and specialty gelatin producers
Agri-food startups developing innovative marine-based food products</t>
  </si>
  <si>
    <t>fish gelatin, marshmallow, confectionery, protein, fish by-products, food processing</t>
  </si>
  <si>
    <t>KUFOS-006</t>
  </si>
  <si>
    <t>Fish Gelatin Based Sugar Coated Gummy</t>
  </si>
  <si>
    <t>Need for gelatin-free or non-bovine gummy formulations</t>
  </si>
  <si>
    <t>This sugar-coated gummy is prepared using fish gelatin obtained from collagen present in fish skin and bones. Fish gelatin acts as an active ingredient in the formulation and serves as an alternative to conventional mammalian gelatin sources. The product is developed as a chewable confectionery item with a sugar coating.</t>
  </si>
  <si>
    <t>Confectionery and gummy candy manufacturing companies
Fish processing and marine by-product utilization enterprises
Specialty gelatin and food ingredient manufacturers
Functional and protein-enriched food product companies
Agri-food startups developing innovative marine-based confectionery products</t>
  </si>
  <si>
    <t>fish gelatin, gummy, confectionery, collagen, fish skin, fish bones</t>
  </si>
  <si>
    <t>KUFOS-007</t>
  </si>
  <si>
    <t>Seaweed Pasta</t>
  </si>
  <si>
    <t>Need for nutritionally enriched pasta products</t>
  </si>
  <si>
    <t>This pasta incorporates seaweed as an ingredient to improve nutritional quality. The formulation is intended to increase protein and dietary fibre content while providing additional vitamins and minerals associated with seaweed. The technology demonstrates the use of seaweed as a value-added ingredient in wheat-based pasta products.</t>
  </si>
  <si>
    <t>Pasta and convenience food manufacturing companies
Functional and fortified food product enterprises
Seaweed processing and marine ingredient industries
Health food and nutraceutical product manufacturers
Agri-food startups developing value-added marine-based food products</t>
  </si>
  <si>
    <t>seaweed pasta, functional food, dietary fibre, protein, vitamins, minerals, pasta</t>
  </si>
  <si>
    <t>KUFOS-008</t>
  </si>
  <si>
    <t>Backyard Hatchery Technology for Karimeen</t>
  </si>
  <si>
    <t>Hatchery Technology</t>
  </si>
  <si>
    <t>Limited decentralized seed production for Karimeen farming</t>
  </si>
  <si>
    <t>Backyard hatchery technology developed for the breeding and seed production of Karimeen in small-scale aquaculture settings.</t>
  </si>
  <si>
    <t>Small-scale and backyard aquaculture enterprises
Fish hatcheries and seed production units
Fisheries cooperatives and farmer producer organizations (FPOs)
Government fisheries departments and rural livelihood programs
Aquaculture startups focused on indigenous fish farming and seed supply</t>
  </si>
  <si>
    <t>karimeen, hatchery, fish seed, aquaculture</t>
  </si>
  <si>
    <t>KUFOS-009</t>
  </si>
  <si>
    <t>Backyard Hatchery Technology for Olive Barb</t>
  </si>
  <si>
    <t>Limited availability of quality seed for Olive Barb culture</t>
  </si>
  <si>
    <t>Hatchery technology intended for small-scale breeding and seed production of Olive Barb fish species.</t>
  </si>
  <si>
    <t>Small-scale aquaculture and fish farming enterprises
Fish hatcheries and seed production units
Fisheries cooperatives and farmer producer organizations (FPOs)
Government fisheries departments and aquaculture development programs
Aquaculture startups focused on indigenous and ornamental fish seed production</t>
  </si>
  <si>
    <t>olive barb, hatchery, fish seed, aquaculture</t>
  </si>
  <si>
    <t>KUFOS-010</t>
  </si>
  <si>
    <t>Cashew Nut Waste Based Feed for Tilapia</t>
  </si>
  <si>
    <t>Utilization of agro-waste and reduction of feed cost</t>
  </si>
  <si>
    <t>Feed technology utilizing cashew nut processing waste as a feed ingredient for tilapia culture.</t>
  </si>
  <si>
    <t>Aquaculture feed manufacturing companies
Tilapia farming and freshwater aquaculture enterprises
Cashew processing industries and by-product utilization units
Fisheries cooperatives and farmer producer organizations (FPOs)
Government fisheries departments and sustainable aquaculture development programs</t>
  </si>
  <si>
    <t>cashew waste, feed, tilapia, aquaculture</t>
  </si>
  <si>
    <t>KUFOS-011</t>
  </si>
  <si>
    <t>Farm Made Feed for Indian Major Carps (IMCs)</t>
  </si>
  <si>
    <t>Cost-effective feed preparation for carp farming</t>
  </si>
  <si>
    <t>Feed formulation technology for preparing carp feed at farm level using locally available ingredients.</t>
  </si>
  <si>
    <t>Carp farming and freshwater aquaculture enterprises
Small-scale fish farmers and integrated farming systems
Aquaculture feed production units and rural feed enterprises
Fisheries cooperatives and farmer producer organizations (FPOs)
Government fisheries departments and aquaculture extension programs</t>
  </si>
  <si>
    <t>carp feed, IMC, aquaculture, farm feed</t>
  </si>
  <si>
    <t>KUFOS-012</t>
  </si>
  <si>
    <t>Insect Based Feed for Pangasius</t>
  </si>
  <si>
    <t>Dependence on conventional protein sources in aquafeeds</t>
  </si>
  <si>
    <t>Feed technology using insect-derived ingredients as an alternative protein source for Pangasius culture.</t>
  </si>
  <si>
    <t>Aquaculture feed manufacturing companies
Pangasius farming and commercial aquaculture enterprises
Insect farming and alternative protein production units
Fisheries cooperatives and farmer producer organizations (FPOs)
Sustainable aquaculture and circular bioeconomy initiatives</t>
  </si>
  <si>
    <t>insect feed, pangasius, aquaculture, protein source</t>
  </si>
  <si>
    <t>KUFOS-013</t>
  </si>
  <si>
    <t>Seed Production of Malabar Dwarf Puffer</t>
  </si>
  <si>
    <t>Seed Production Technology</t>
  </si>
  <si>
    <t>Limited captive seed production of ornamental fish species</t>
  </si>
  <si>
    <t>Technology focused on breeding and seed production of Malabar Dwarf Puffer fish.</t>
  </si>
  <si>
    <t>Ornamental fish hatcheries and breeding centers
Aquarium trade and ornamental fish enterprises
Aquaculture startups focused on indigenous ornamental species
Fisheries research institutions and conservation programs
Fisheries cooperatives and entrepreneur-led ornamental fish production units</t>
  </si>
  <si>
    <t>malabar dwarf puffer, ornamental fish, seed production</t>
  </si>
  <si>
    <t>KUFOS-014</t>
  </si>
  <si>
    <t>Ultra Violet Assisted Vertical Recirculatory Depuration System</t>
  </si>
  <si>
    <t>Water Treatment Technology</t>
  </si>
  <si>
    <t>Water quality management in aquatic production systems</t>
  </si>
  <si>
    <t>A recirculatory depuration system incorporating ultraviolet treatment for improved water quality management.</t>
  </si>
  <si>
    <t>Aquaculture farms and recirculatory aquaculture systems (RAS)
Seafood purification and post-harvest handling facilities
Fish hatcheries and seed production units
Ornamental fish breeding and aquarium enterprises
Fisheries research institutions and aquatic health management programs</t>
  </si>
  <si>
    <t>UV treatment, depuration system, water quality, aquaculture</t>
  </si>
  <si>
    <t>KUFOS-015</t>
  </si>
  <si>
    <t>Battered and Breaded Products from Farmed Basa</t>
  </si>
  <si>
    <t>Value Added Fish Product</t>
  </si>
  <si>
    <t>Limited value-added utilization of farmed Basa fish</t>
  </si>
  <si>
    <t>Technology for preparing battered and breaded ready-to-cook products using farmed Basa fish.</t>
  </si>
  <si>
    <t>Seafood processing and value-addition industries
Ready-to-cook, frozen food, and convenience food manufacturers
Basa fish farming enterprises and integrated aquaculture businesses
Retail food brands, supermarkets, and food service providers
Agri-food startups developing value-added seafood products</t>
  </si>
  <si>
    <t>basa fish, battered products, breaded products, seafood processing</t>
  </si>
  <si>
    <t>KUFOS-016</t>
  </si>
  <si>
    <t>Calcium Incorporated Gluten-Free Cookies</t>
  </si>
  <si>
    <t>Demand for gluten-free foods with improved nutritional content</t>
  </si>
  <si>
    <t>Gluten-free cookie formulation enhanced with calcium to improve nutritional value.</t>
  </si>
  <si>
    <t>Gluten-free and specialty food manufacturers
Bakery and functional snack food companies
Health food and nutraceutical product enterprises
Healthcare nutrition and wellness food providers
Agri-food startups developing fortified and dietary food products</t>
  </si>
  <si>
    <t>gluten-free cookies, calcium, bakery products, nutrition</t>
  </si>
  <si>
    <t>KUFOS-017</t>
  </si>
  <si>
    <t>Fish Based Pasta and Noodles</t>
  </si>
  <si>
    <t>Limited diversification of fish-based food products</t>
  </si>
  <si>
    <t>Pasta and noodle products incorporating fish-based ingredients to enhance food utilization.</t>
  </si>
  <si>
    <t>Seafood processing and value-addition industries
Pasta, noodle, and convenience food manufacturers
Functional and protein-enriched food product companies
Institutional catering and nutrition-focused food service providers
Agri-food startups developing innovative fish-based food products</t>
  </si>
  <si>
    <t>fish pasta, fish noodles, value-added fish products</t>
  </si>
  <si>
    <t>KUFOS-018</t>
  </si>
  <si>
    <t>Fish Jelly Powder Mola Carpet</t>
  </si>
  <si>
    <t>Fish-Based Food Product</t>
  </si>
  <si>
    <t>Limited utilization of small indigenous fish species in value-added foods</t>
  </si>
  <si>
    <t>Fish-based jelly powder product developed using Mola fish for preparation of nutritionally enriched food products.</t>
  </si>
  <si>
    <t>Food ingredient and nutraceutical manufacturers
Functional and fortified food product companies
Fish processing and value-addition enterprises
Healthcare nutrition and wellness food providers
Agri-food startups developing nutrient-enriched fish-based products</t>
  </si>
  <si>
    <t>mola fish, jelly powder, fish products, nutrition</t>
  </si>
  <si>
    <t>KUFOS-019</t>
  </si>
  <si>
    <t>Fish Gelatine Based Jelly</t>
  </si>
  <si>
    <t>Need for alternative gelatin-based food products</t>
  </si>
  <si>
    <t>Jelly product prepared using fish-derived gelatin as a functional ingredient.</t>
  </si>
  <si>
    <t>Confectionery and jelly product manufacturers
Fish processing and marine by-product utilization industries
Specialty gelatin and food ingredient manufacturers
Functional and protein-enriched food product companies
Agri-food startups developing innovative fish-based food products</t>
  </si>
  <si>
    <t>fish gelatin, jelly, confectionery</t>
  </si>
  <si>
    <t>KUFOS-020</t>
  </si>
  <si>
    <t>Shrimp Cracker</t>
  </si>
  <si>
    <t>Seafood Snack Product</t>
  </si>
  <si>
    <t>Limited value-added shrimp products</t>
  </si>
  <si>
    <t>Snack product developed using shrimp as a primary ingredient for value addition and diversification.</t>
  </si>
  <si>
    <t>Seafood processing and value-addition industries
Snack food manufacturing companies
Shrimp farming and integrated aquaculture enterprises
Ready-to-eat and convenience food manufacturers
Agri-food startups developing innovative seafood-based snack products</t>
  </si>
  <si>
    <t>shrimp cracker, seafood snacks, value addition</t>
  </si>
  <si>
    <t>KUFOS-021</t>
  </si>
  <si>
    <t>Bilimbi Syrup</t>
  </si>
  <si>
    <t>Beverage Technology</t>
  </si>
  <si>
    <t>Underutilization of Bilimbi fruit</t>
  </si>
  <si>
    <t>Syrup developed from Bilimbi fruit for beverage and food applications.</t>
  </si>
  <si>
    <t>Fruit processing and value-addition enterprises
Beverage and specialty drink manufacturers
Food ingredient and natural flavoring companies
Farmer producer organizations (FPOs) and fruit-based agri-enterprises
Agri-food startups developing value-added fruit products</t>
  </si>
  <si>
    <t>bilimbi, syrup, beverage, fruit processing</t>
  </si>
  <si>
    <t>KUFOS-022</t>
  </si>
  <si>
    <t>Fibre Rich Biscuits</t>
  </si>
  <si>
    <t>Need for high-fibre snack products</t>
  </si>
  <si>
    <t>Biscuit formulation enriched with dietary fibre to improve nutritional value.</t>
  </si>
  <si>
    <t>Biscuit and bakery product manufacturers
Functional and fortified food manufacturing companies
Health food and nutraceutical product enterprises
Institutional catering and wellness nutrition providers
Agri-food startups developing high-fibre snack products</t>
  </si>
  <si>
    <t>fibre biscuit, bakery products, nutrition</t>
  </si>
  <si>
    <t>KUFOS-023</t>
  </si>
  <si>
    <t>Diet Chocolate</t>
  </si>
  <si>
    <t>Demand for healthier chocolate products</t>
  </si>
  <si>
    <t>Chocolate product formulated to meet dietary and health-conscious consumer preferences.</t>
  </si>
  <si>
    <t>Confectionery and chocolate manufacturing companies
Health food and specialty snack product enterprises
Functional and nutraceutical food manufacturers
Retail food brands and wellness-focused product companies
Agri-food startups developing low-sugar and dietary food products</t>
  </si>
  <si>
    <t>diet chocolate, confectionery, health food</t>
  </si>
  <si>
    <t>KUFOS-024</t>
  </si>
  <si>
    <t>Jackfruit Leather</t>
  </si>
  <si>
    <t>Fruit Processing Technology</t>
  </si>
  <si>
    <t>Post-harvest losses in jackfruit and limited value-added products</t>
  </si>
  <si>
    <t>Processed fruit leather product prepared from jackfruit for improved utilization and storage.</t>
  </si>
  <si>
    <t>Fruit processing and value-addition industries
Snack food and ready-to-eat product manufacturers
Jackfruit producer companies and farmer producer organizations (FPOs)
Export-oriented processed food enterprises
Agri-food startups developing fruit-based convenience products</t>
  </si>
  <si>
    <t>jackfruit, fruit leather, value addition</t>
  </si>
  <si>
    <t>KUFOS-025</t>
  </si>
  <si>
    <t>Nutrient Bar</t>
  </si>
  <si>
    <t>Need for convenient nutrient-rich food products</t>
  </si>
  <si>
    <t>Nutrient-dense bar formulated as a ready-to-eat food product with enhanced nutritional value.</t>
  </si>
  <si>
    <t>Functional and health food manufacturing companies
Nutraceutical and wellness product enterprises
Sports nutrition and fitness food brands
Institutional catering and nutrition support programs
Agri-food startups developing convenient nutrient-rich snack products</t>
  </si>
  <si>
    <t>nutrient bar, health food, ready-to-eat</t>
  </si>
  <si>
    <t>KUFOS-026</t>
  </si>
  <si>
    <t>Thermally Processed Ready-to-Eat Tomato Paste</t>
  </si>
  <si>
    <t>Food Preservation Technology</t>
  </si>
  <si>
    <t>Limited shelf life of fresh tomatoes and post-harvest losses</t>
  </si>
  <si>
    <t>Thermally processed ready-to-eat tomato paste developed for extended usability and convenient consumption.</t>
  </si>
  <si>
    <t>Tomato processing and value-addition industries
Ready-to-eat and convenience food manufacturers
Food service, catering, and institutional kitchen providers
Retail food brands and packaged food companies
Farmer producer organizations (FPOs) and agro-processing enterprises</t>
  </si>
  <si>
    <t>tomato paste, ready-to-eat, food preservation</t>
  </si>
  <si>
    <t>SBI-001</t>
  </si>
  <si>
    <t>Liquid Jaggery Processing Without Any Chemical Additives</t>
  </si>
  <si>
    <t>ICAR-Sugarcane Breeding Institute Research Centre, Kannur</t>
  </si>
  <si>
    <t>This process enables the production of liquid jaggery without the use of chemical additives such as clarificants, colouring agents, or preservatives. The method incorporates suitable heating and separation techniques to remove dissolved impurities and obtain a healthier sweetener. The product can be used directly as a natural sweetener and also serves as a raw material for confectionery products and Ayurvedic preparations.</t>
  </si>
  <si>
    <t>Jaggery production and sugarcane processing enterprises
Natural sweetener and food ingredient manufacturers
Confectionery and traditional food product companies
Ayurvedic, herbal, and nutraceutical product manufacturers
Farmer producer organizations (FPOs) and agro-processing startups</t>
  </si>
  <si>
    <t>liquid jaggery, natural sweetener, sugarcane, additive-free, confectionery, ayurvedic products</t>
  </si>
  <si>
    <t>https://drive.google.com/file/d/1FQWmKzameszjpgcGMVbqBw_NWyMuINal/view?usp=drive_link</t>
  </si>
  <si>
    <t>SBI-002</t>
  </si>
  <si>
    <t>Powder Jaggery Processing from Sugarcane Juice with Organic Clarificants</t>
  </si>
  <si>
    <t>Need for stable and high-quality powdered jaggery products</t>
  </si>
  <si>
    <t>This technology produces powder jaggery by reducing the water content of sugarcane juice and using organic clarificants during processing. The resulting product is characterized by improved uniformity, colour, taste, clarity, and storage stability. The process provides an alternative method for preparing powdered jaggery suitable for food applications.</t>
  </si>
  <si>
    <t>Jaggery production and sugarcane processing industries
Natural sweetener and food ingredient manufacturers
Bakery, confectionery, and processed food companies
Health food, organic food, and nutraceutical enterprises
Farmer producer organizations (FPOs) and agro-processing startups</t>
  </si>
  <si>
    <t>powder jaggery, sugarcane juice, organic clarificants, sweetener, food processing</t>
  </si>
  <si>
    <t>https://drive.google.com/file/d/1_jexWfq3AZaz9D-_6Tv9PvdH9TfUJ5er/view?usp=drive_link</t>
  </si>
  <si>
    <t>SBI-003</t>
  </si>
  <si>
    <t>Freeze Preservation of Sugarcane Juice with Natural Additives</t>
  </si>
  <si>
    <t>Rapid spoilage and short shelf life of fresh sugarcane juice</t>
  </si>
  <si>
    <t>This preservation method extends the usability of sugarcane juice by incorporating natural additives that help reduce oxidation and microbial deterioration during storage. The process is designed to retain the colour and taste characteristics of the juice while improving storage stability. Herbal additives may also be incorporated to provide additional value to the final product.</t>
  </si>
  <si>
    <t>Sugarcane juice processing and beverage manufacturing companies
Functional and health drink product enterprises
Food preservation and natural ingredient manufacturers
Farmer producer organizations (FPOs) and agro-processing units
Retail beverage brands and ready-to-serve drink producers</t>
  </si>
  <si>
    <t>sugarcane juice, preservation, natural additives, beverage processing, storage stability</t>
  </si>
  <si>
    <t>https://drive.google.com/file/d/129O44nAlXYmO2GlySEEJBzPMrc0rrwiR/view?usp=drive_link</t>
  </si>
  <si>
    <t>SBI-004</t>
  </si>
  <si>
    <t>Ice Cream Preparation Using Sugarcane Syrup and Powder Jaggery</t>
  </si>
  <si>
    <t>Value Added Food Product</t>
  </si>
  <si>
    <t>Dependence on refined sugar in ice cream production</t>
  </si>
  <si>
    <t>This technology enables the preparation of ice cream using sugarcane syrup or powder jaggery as alternatives to refined sugar. The approach incorporates sugarcane-based sweeteners into frozen desserts while retaining the flavour characteristics and nutritional attributes associated with sugarcane products.</t>
  </si>
  <si>
    <t>Ice cream and frozen dessert manufacturing companies
Dairy processing and value-added dairy product enterprises
Natural sweetener and clean-label food product manufacturers
Health food and specialty food brands
Farmer producer organizations (FPOs) and sugarcane-based agro-processing startups</t>
  </si>
  <si>
    <t>ice cream, sugarcane syrup, powder jaggery, frozen desserts, dairy products</t>
  </si>
  <si>
    <t>https://drive.google.com/file/d/1KK6lw5P8I9kXXs5n6csQEKYvv4NQLn0r/view?usp=drive_link</t>
  </si>
  <si>
    <t>SBI-005</t>
  </si>
  <si>
    <t>Production of Sugarcane Wine with Different Fruit Blends</t>
  </si>
  <si>
    <t>Fermentation Technology</t>
  </si>
  <si>
    <t>Limited flavour diversity and acceptability of sugarcane wine</t>
  </si>
  <si>
    <t>This technology combines sugarcane juice with different fruit pulps to produce blended wines with improved flavour, colour, and consumer acceptability. The process utilizes locally available fruits and integrates them with sugarcane juice to create diversified fermented beverage products.</t>
  </si>
  <si>
    <t>Fruit wine and fermented beverage manufacturers
Sugarcane processing and value-addition enterprises
Food and beverage startups developing specialty drinks
Agro-processing units utilizing local fruit resources
Hospitality, tourism, and artisanal beverage industries</t>
  </si>
  <si>
    <t>sugarcane wine, fruit blends, fermentation, beverages, fruit pulp, value addition</t>
  </si>
  <si>
    <t>SBI-006</t>
  </si>
  <si>
    <t>Powder Jaggery-Based Fortified Cookies and Cakes</t>
  </si>
  <si>
    <t>Dependence on refined sugar in bakery products</t>
  </si>
  <si>
    <t>This technology incorporates powder jaggery into bakery products such as cookies and cakes as an alternative sweetening ingredient. The formulation supports the development of bakery products using sugarcane-derived sweeteners while enhancing the utilization of jaggery in processed foods.</t>
  </si>
  <si>
    <t>Bakery and confectionery manufacturing companies
Health food and clean-label food product enterprises
Jaggery processing and sugarcane value-addition industries
Retail food brands and packaged snack manufacturers
Agri-food startups developing natural sweetener-based products</t>
  </si>
  <si>
    <t>powder jaggery, cookies, cakes, bakery products, sweetener, sugarcane products</t>
  </si>
  <si>
    <t>https://drive.google.com/file/d/1GVobXhM9slzuOemwrSJeKRazq4lrQWU7/view?usp=drive_link</t>
  </si>
  <si>
    <t>SBI-007</t>
  </si>
  <si>
    <t>Cane Jam Production from Sugarcane Juice</t>
  </si>
  <si>
    <t>Limited value-added products from sugarcane juice</t>
  </si>
  <si>
    <t>This technology utilizes sugarcane juice for the preparation of jam products, creating an additional avenue for value addition in sugarcane processing. The product converts fresh sugarcane juice into a shelf-stable food item suitable for direct consumption and food applications.</t>
  </si>
  <si>
    <t>Fruit spread, jam, and preserve manufacturing companies
Sugarcane processing and value-addition enterprises
Food processing MSMEs and agro-processing units
Retail food brands and packaged food manufacturers
Farmer producer organizations (FPOs) and agri-food startups developing sugarcane-based products</t>
  </si>
  <si>
    <t>cane jam, sugarcane juice, value addition, processed foods</t>
  </si>
  <si>
    <t>KAU-001</t>
  </si>
  <si>
    <t>Recycling of Human Hair Waste into Liquid Fertilizer</t>
  </si>
  <si>
    <t>Kerala Agricultural University</t>
  </si>
  <si>
    <t>Organic Fertilizer</t>
  </si>
  <si>
    <t>Disposal of human hair waste and need for organic nutrient sources</t>
  </si>
  <si>
    <t>Technology for converting human hair waste into liquid fertilizer for agricultural applications. Limited information available in source.</t>
  </si>
  <si>
    <t>Organic fertilizer and bio-input manufacturing companies
Waste management and resource recovery enterprises
Horticulture and commercial crop cultivation sectors
Farmer producer organizations (FPOs) and agricultural cooperatives
Municipal bodies and circular economy initiatives focused on waste valorization</t>
  </si>
  <si>
    <t>human hair, liquid fertilizer, organic farming</t>
  </si>
  <si>
    <t>KAU-002</t>
  </si>
  <si>
    <t>Banana Bunch Covering Device</t>
  </si>
  <si>
    <t>Farm Equipment</t>
  </si>
  <si>
    <t>Protection of banana bunches during cultivation</t>
  </si>
  <si>
    <t>Device developed for covering banana bunches during crop growth. Limited information available in source.</t>
  </si>
  <si>
    <t>Banana cultivation and plantation enterprises
Banana producer companies and farmer producer organizations (FPOs)
Agricultural input and crop protection product manufacturers
Horticulture farms and commercial fruit growers
Government agriculture departments and extension service programs</t>
  </si>
  <si>
    <t>banana, bunch cover, crop protection</t>
  </si>
  <si>
    <t>KAU-003</t>
  </si>
  <si>
    <t>Vertical Axial Flow Propeller Pump</t>
  </si>
  <si>
    <t>Irrigation Equipment</t>
  </si>
  <si>
    <t>Water movement and irrigation challenges</t>
  </si>
  <si>
    <t>Vertical axial flow propeller pump intended for agricultural water management applications. Limited information available in source.</t>
  </si>
  <si>
    <t>Irrigation and agricultural water management projects
Lift irrigation schemes and canal water distribution systems
Water resources and rural infrastructure development agencies
Large-scale farms and plantation enterprises
Government irrigation departments and agricultural engineering services</t>
  </si>
  <si>
    <t>propeller pump, irrigation, water management</t>
  </si>
  <si>
    <t>KAU-004</t>
  </si>
  <si>
    <t>Pineapple Harvester Attachment for Backpack Type Brush Cutter</t>
  </si>
  <si>
    <t>Harvesting Equipment</t>
  </si>
  <si>
    <t>Labour-intensive pineapple harvesting</t>
  </si>
  <si>
    <t>Harvesting attachment designed for use with backpack-type brush cutters in pineapple cultivation. Limited information available in source.</t>
  </si>
  <si>
    <t>Pineapple cultivation and plantation enterprises
Agricultural machinery and farm equipment manufacturers
Farmer producer organizations (FPOs) and agricultural cooperatives
Custom hiring centers and farm mechanization service providers
Government agriculture departments and farm mechanization programs</t>
  </si>
  <si>
    <t>pineapple harvester, brush cutter, farm machinery</t>
  </si>
  <si>
    <t>KAU-005</t>
  </si>
  <si>
    <t>Microbial Consortium for Aerobic Composting (Liquid Formulation)</t>
  </si>
  <si>
    <t>Efficient organic waste decomposition</t>
  </si>
  <si>
    <t>Liquid microbial consortium formulation developed for aerobic composting applications. Limited information available in source.</t>
  </si>
  <si>
    <t>Organic waste management and composting enterprises
Organic fertilizer and bio-input manufacturers
Municipal solid waste management agencies
Farmer producer organizations (FPOs) and agricultural cooperatives
Sustainable agriculture and circular economy initiativ</t>
  </si>
  <si>
    <t>composting, microbial consortium, liquid formulation</t>
  </si>
  <si>
    <t>KAU-006</t>
  </si>
  <si>
    <t>Microbial Consortium for Aerobic Composting (Coir Pith Base Formulation)</t>
  </si>
  <si>
    <t>Efficient compost production from organic waste</t>
  </si>
  <si>
    <t>Coir pith-based microbial consortium formulation for aerobic composting. Limited information available in source.</t>
  </si>
  <si>
    <t>Organic waste management and composting enterprises
Coir processing industries and coir pith utilization units
Organic fertilizer and bio-input manufacturers
Municipal solid waste management agencies
Sustainable agriculture and circular economy initiatives</t>
  </si>
  <si>
    <t>coir pith, composting, microbial consortium</t>
  </si>
  <si>
    <t>KAU-007</t>
  </si>
  <si>
    <t>Novel Puttupodi</t>
  </si>
  <si>
    <t>Food Product</t>
  </si>
  <si>
    <t>Product diversification in traditional foods</t>
  </si>
  <si>
    <t>Novel formulation of puttupodi developed as a food product. Limited information available in source.</t>
  </si>
  <si>
    <t>puttupodi, food product, traditional foods</t>
  </si>
  <si>
    <t>KAU-008</t>
  </si>
  <si>
    <t>VCO Based Face Cream</t>
  </si>
  <si>
    <t>Consumer &amp; Lifestyle Products</t>
  </si>
  <si>
    <t>Cosmetic Product</t>
  </si>
  <si>
    <t>Need for coconut-based skincare products</t>
  </si>
  <si>
    <t>Face cream formulated using virgin coconut oil as a key ingredient. Limited information available in source.</t>
  </si>
  <si>
    <t>Cosmetic and personal care product manufacturers
Herbal, natural, and organic skincare brands
Virgin coconut oil processing and value-addition enterprises
Wellness, beauty, and spa product companies
Startups developing coconut-based personal care products</t>
  </si>
  <si>
    <t>VCO, face cream, skincare</t>
  </si>
  <si>
    <t>KAU-009</t>
  </si>
  <si>
    <t>VCO Based Mouth Wash</t>
  </si>
  <si>
    <t>Oral Care Product</t>
  </si>
  <si>
    <t>Oral hygiene management</t>
  </si>
  <si>
    <t>Mouthwash formulation developed using virgin coconut oil. Limited information available in source.</t>
  </si>
  <si>
    <t>Oral care and personal hygiene product manufacturers
Herbal, natural, and wellness product companies
Pharmaceutical and healthcare product enterprises
Virgin coconut oil processing and value-addition industries
Startups developing coconut-based health and personal care products</t>
  </si>
  <si>
    <t>VCO, mouthwash, oral care</t>
  </si>
  <si>
    <t>KAU-010</t>
  </si>
  <si>
    <t>VCO Based Hair Cream</t>
  </si>
  <si>
    <t>Hair care product development</t>
  </si>
  <si>
    <t>Hair cream developed using virgin coconut oil. Limited information available in source.</t>
  </si>
  <si>
    <t>Hair care and personal care product manufacturers
Herbal, natural, and organic cosmetic brands
Virgin coconut oil processing and value-addition enterprises
Beauty, wellness, and salon product companies
Startups developing coconut-based cosmetic and grooming products</t>
  </si>
  <si>
    <t>VCO, hair cream, cosmetics</t>
  </si>
  <si>
    <t>KAU-011</t>
  </si>
  <si>
    <t>Dehydrated Jackfruit Flakes</t>
  </si>
  <si>
    <t>Post-harvest losses in jackfruit</t>
  </si>
  <si>
    <t>Dehydrated jackfruit product developed for extended usability and storage. Limited information available in source.</t>
  </si>
  <si>
    <t>Fruit processing and value-addition industries
Ready-to-eat and convenience food manufacturers
Export-oriented processed food enterprises
Jackfruit producer companies and farmer producer organizations (FPOs)
Agri-food startups developing dehydrated fruit and snack products</t>
  </si>
  <si>
    <t>jackfruit flakes, dehydration, food preservation</t>
  </si>
  <si>
    <t>KAU-012</t>
  </si>
  <si>
    <t>Osmo Dehydrated Ripe Flakes</t>
  </si>
  <si>
    <t>Osmo-dehydrated fruit flakes developed for food applications. Limited information available in source.</t>
  </si>
  <si>
    <t>Fruit processing and value-addition industries
Snack food and ready-to-eat product manufacturers
Bakery, confectionery, and breakfast cereal companies
Export-oriented processed food enterprises
Agri-food startups developing dehydrated and functional fruit products</t>
  </si>
  <si>
    <t>osmo dehydration, fruit flakes</t>
  </si>
  <si>
    <t>KAU-013</t>
  </si>
  <si>
    <t>Seed Flour for Cattle Feed</t>
  </si>
  <si>
    <t>Animal Feed Technology</t>
  </si>
  <si>
    <t>Alternative livestock feed ingredients</t>
  </si>
  <si>
    <t>Seed flour developed for use in cattle feed formulations. Limited information available in source.</t>
  </si>
  <si>
    <t>Cattle feed and livestock nutrition manufacturers
Dairy farming and integrated livestock enterprises
Feed ingredient processing and value-addition industries
Farmer producer organizations (FPOs) and livestock cooperatives
Animal husbandry departments and livestock development programs</t>
  </si>
  <si>
    <t>cattle feed, seed flour, livestock</t>
  </si>
  <si>
    <t>KAU-014</t>
  </si>
  <si>
    <t>Banana Flour-Based Ethnic Mix</t>
  </si>
  <si>
    <t>Utilization of banana-based ingredients</t>
  </si>
  <si>
    <t>Ethnic food mix prepared using banana flour. Limited information available in source.</t>
  </si>
  <si>
    <t>Traditional and ethnic food product manufacturers
Banana processing and value-addition enterprises
Ready-to-cook and convenience food manufacturers
Farmer producer organizations (FPOs) and agro-processing units
Agri-food startups developing innovative banana-based food products</t>
  </si>
  <si>
    <t>banana flour, ethnic mix, food products</t>
  </si>
  <si>
    <t>KAU-015</t>
  </si>
  <si>
    <t>Extruded RTE Snack from Starch-Based Food Products</t>
  </si>
  <si>
    <t>Ready-to-Eat Food Product</t>
  </si>
  <si>
    <t>Development of value-added snack products</t>
  </si>
  <si>
    <t>Ready-to-eat extruded snack product based on starch-rich ingredients. Limited information available in source.</t>
  </si>
  <si>
    <t>Snack food manufacturing companies
Starch processing and value-addition industries
Ready-to-eat and convenience food manufacturers
Food processing MSMEs and agri-food startups
Export-oriented processed food enterprises</t>
  </si>
  <si>
    <t>extruded snacks, RTE foods, starch products</t>
  </si>
  <si>
    <t>KAU-016</t>
  </si>
  <si>
    <t>Bed Former Suitable Minitractor</t>
  </si>
  <si>
    <t>Difficulty in preparing uniform planting beds using small tractors</t>
  </si>
  <si>
    <t>Bed-forming equipment designed for use with mini tractors to support field preparation and crop cultivation operations. The technology is intended to improve the efficiency of bed preparation in small and medium-sized farms. Limited technical details are provided in the source document.</t>
  </si>
  <si>
    <t>Small and medium-scale farming enterprises
Mini tractor and farm machinery manufacturers
Custom hiring centers and farm mechanization service providers
Farmer producer organizations (FPOs) and agricultural cooperatives
Government agriculture departments and farm mechanization programs</t>
  </si>
  <si>
    <t>bed former, minitractor, farm equipment, field preparation, agriculture</t>
  </si>
  <si>
    <t>KAU-017</t>
  </si>
  <si>
    <t>KAU Bed Former Attachable to Tractor</t>
  </si>
  <si>
    <t>Inefficient bed preparation in mechanized farming operations</t>
  </si>
  <si>
    <t>Tractor-mounted bed former developed for agricultural land preparation. The equipment assists in creating planting beds suitable for crop production and mechanized farming practices. Limited technical details are provided in the source document.</t>
  </si>
  <si>
    <t>Commercial farming and plantation enterprises
Tractor and agricultural machinery manufacturers
Custom hiring centers and farm mechanization service providers
Farmer producer organizations (FPOs) and agricultural cooperatives
Government agriculture departments and mechanized farming programs</t>
  </si>
  <si>
    <t>tractor attachment, bed former, mechanization, agriculture</t>
  </si>
  <si>
    <t>KAU-018</t>
  </si>
  <si>
    <t>Bioreactor for Energy Conversion of Organic Effluents</t>
  </si>
  <si>
    <t>Bioenergy Technology</t>
  </si>
  <si>
    <t>Disposal of organic effluents and recovery of energy from waste streams</t>
  </si>
  <si>
    <t>Bioreactor technology intended for converting organic effluents into usable energy. The system focuses on resource recovery from organic waste streams while supporting waste management objectives. Limited technical details are available in the source document.</t>
  </si>
  <si>
    <t>Wastewater treatment and organic waste management facilities
Food processing, agro-processing, and livestock-based industries
Renewable energy and bioenergy generation enterprises
Municipal bodies and decentralized waste-to-energy projects
Industrial units pursuing resource recovery and circular economy solutions</t>
  </si>
  <si>
    <t>bioreactor, organic effluent, bioenergy, waste conversion, renewable energy</t>
  </si>
  <si>
    <t>KAU-019</t>
  </si>
  <si>
    <t>Motorized Cocoa Pod Breaker</t>
  </si>
  <si>
    <t>Processing Equipment</t>
  </si>
  <si>
    <t>Labour-intensive cocoa pod breaking operations</t>
  </si>
  <si>
    <t>Motorized equipment designed for breaking cocoa pods during post-harvest processing. The technology supports mechanization of cocoa processing activities and reduces manual effort. Limited technical details are available in the source document.</t>
  </si>
  <si>
    <t>cocoa, pod breaker, processing equipment, post-harvest, mechanization</t>
  </si>
  <si>
    <t>KAU-020</t>
  </si>
  <si>
    <t>Processing Protocol for Garcinia Powder</t>
  </si>
  <si>
    <t>Limited value addition and preservation options for Garcinia products</t>
  </si>
  <si>
    <t>Processing protocol developed for the preparation of Garcinia powder from Garcinia fruit materials. The technology supports the conversion of raw material into a value-added powdered product suitable for food applications. Limited technical details are available in the source document.</t>
  </si>
  <si>
    <t>Spice and food ingredient manufacturing companies
Garcinia processing and value-addition enterprises
Nutraceutical and herbal product manufacturers
Food processing MSMEs and agro-processing units
Farmer producer organizations (FPOs) and agri-food startups developing Garcinia-based products</t>
  </si>
  <si>
    <t>garcinia, powder, food processing, value addition</t>
  </si>
  <si>
    <t>KAU-021</t>
  </si>
  <si>
    <t>Black Pepper Decorticator</t>
  </si>
  <si>
    <t>Inefficient processing of black pepper</t>
  </si>
  <si>
    <t>Equipment developed for decortication and processing of black pepper. The technology supports post-harvest handling and processing activities associated with pepper production. Limited technical details are available in the source document.</t>
  </si>
  <si>
    <t>Pepper processing and spice manufacturing enterprises
Black pepper producer companies and farmer producer organizations (FPOs)
Spice processing machinery manufacturers and fabricators
Export-oriented spice processing units
Agro-processing centers and post-harvest management facilities</t>
  </si>
  <si>
    <t>black pepper, decorticator, spice processing, equipment</t>
  </si>
  <si>
    <t>KAU-022</t>
  </si>
  <si>
    <t>Designing Low-Cost Organic Fertigation System for Homestead Vegetable Production</t>
  </si>
  <si>
    <t>Irrigation Technology</t>
  </si>
  <si>
    <t>Limited access to affordable nutrient delivery systems for small-scale vegetable cultivation</t>
  </si>
  <si>
    <t>Low-cost organic fertigation system designed for homestead vegetable production. The technology integrates irrigation and nutrient application practices to support vegetable cultivation using organic inputs. Limited technical details are available in the source document.</t>
  </si>
  <si>
    <t>Homestead and small-scale vegetable farming enterprises
Organic farming and kitchen garden initiatives
Irrigation equipment manufacturers and agri-input suppliers
Farmer producer organizations (FPOs) and agricultural cooperatives
Government agriculture departments and sustainable farming programs</t>
  </si>
  <si>
    <t>fertigation, organic farming, vegetables, irrigation, homestead cultivation</t>
  </si>
  <si>
    <t>KAU-023</t>
  </si>
  <si>
    <t>Rotary Banana Slicer</t>
  </si>
  <si>
    <t>Inefficient slicing of bananas during processing operations</t>
  </si>
  <si>
    <t>Rotary slicing equipment developed for banana processing applications. The technology supports preparation of banana products through mechanized slicing and handling operations. Limited technical details are available in the source document.</t>
  </si>
  <si>
    <t>Banana processing and value-addition industries
Snack food and banana chip manufacturing units
Food processing MSMEs and agro-processing enterprises
Farmer producer organizations (FPOs) and banana grower cooperatives
Food processing equipment manufacturers and fabricators</t>
  </si>
  <si>
    <t>banana slicer, food processing, equipment, mechanization</t>
  </si>
  <si>
    <t>KAU-024</t>
  </si>
  <si>
    <t>Process Protocol for Banana Flour Production</t>
  </si>
  <si>
    <t>Limited utilization of bananas for value-added flour products</t>
  </si>
  <si>
    <t>Processing protocol developed for converting bananas into flour suitable for food applications. The technology supports value addition and diversification of banana-based products. Limited technical details are available in the source document.</t>
  </si>
  <si>
    <t>Banana processing and value-addition industries
Gluten-free and specialty food manufacturers
Bakery, snack, and functional food product companies
Farmer producer organizations (FPOs) and agro-processing units
Agri-food startups developing banana-based food ingredients and products</t>
  </si>
  <si>
    <t>banana flour, processing protocol, value addition, food products</t>
  </si>
  <si>
    <t>KAU-025</t>
  </si>
  <si>
    <t>Retort Pouch Packed Thermally Processed Tender Jackfruit</t>
  </si>
  <si>
    <t>Short shelf life of tender jackfruit and post-harvest losses</t>
  </si>
  <si>
    <t>Technology for preserving tender jackfruit through thermal processing and retort pouch packaging. The process is intended to improve storage stability and product usability while maintaining suitability for food applications.</t>
  </si>
  <si>
    <t>Jackfruit processing and value-addition industries
Ready-to-eat and convenience food manufacturers
Food service, catering, and institutional kitchen providers
Export-oriented processed food enterprises
Farmer producer organizations (FPOs) and agro-processing startups developing jackfruit-based products</t>
  </si>
  <si>
    <t>jackfruit, retort pouch, thermal processing, food preservation</t>
  </si>
  <si>
    <t>KAU-026</t>
  </si>
  <si>
    <t>Process Protocol for Kokum Juice Powder</t>
  </si>
  <si>
    <t>Limited shelf life and handling challenges of kokum juice</t>
  </si>
  <si>
    <t>Processing protocol for converting kokum juice into powdered form. The technology supports preservation, storage, and value addition of kokum-based products. Limited technical details are available in the source document.</t>
  </si>
  <si>
    <t>Beverage and fruit processing industries
Food ingredient and natural flavoring manufacturers
Nutraceutical and wellness product companies
Farmer producer organizations (FPOs) and kokum-based agro-processing enterprises
Agri-food startups developing value-added kokum products and beverage mixes</t>
  </si>
  <si>
    <t>kokum, juice powder, food processing, beverage ingredient</t>
  </si>
  <si>
    <t>KAU-027</t>
  </si>
  <si>
    <t>Wax Applicator</t>
  </si>
  <si>
    <t>Inefficient application of wax coatings in agricultural processing operations</t>
  </si>
  <si>
    <t>Equipment developed for the application of wax coatings during agricultural or post-harvest processing activities. The technology supports standardized coating operations. Limited technical details are available in the source document.</t>
  </si>
  <si>
    <t>Fruit and vegetable post-harvest processing industries
Fresh produce packaging and storage enterprises
Agricultural machinery and post-harvest equipment manufacturers
Farmer producer organizations (FPOs) and agro-processing units
Export-oriented fresh produce handling and supply chain businesses</t>
  </si>
  <si>
    <t>wax applicator, post-harvest, agricultural equipment</t>
  </si>
  <si>
    <t>KAU-028</t>
  </si>
  <si>
    <t>RTC Tuber Fortified Cold Extruded Pasta/Noodles Products</t>
  </si>
  <si>
    <t>Need for nutritious value-added tuber-based food products</t>
  </si>
  <si>
    <t>Pasta, noodle, and convenience food manufacturing companies
Tuber crop processing and value-addition industries
Functional and fortified food product enterprises
Institutional catering and nutrition-focused food service providers
Agri-food startups developing innovative tuber-based food products</t>
  </si>
  <si>
    <t>tuber products, pasta, noodles, fortified foods, cold extrusion</t>
  </si>
  <si>
    <t>KAU-029</t>
  </si>
  <si>
    <t>RTE Hot Extruded Expanded Products</t>
  </si>
  <si>
    <t>Demand for convenient ready-to-eat snack products</t>
  </si>
  <si>
    <t>Ready-to-eat expanded food products developed through hot extrusion processing. The technology supports production of shelf-stable snack products using extrusion techniques.</t>
  </si>
  <si>
    <t>Snack food manufacturing companies
Ready-to-eat and convenience food producers
Food processing MSMEs and agro-processing enterprises
Cereal, millet, and tuber-based product manufacturers
Agri-food startups developing innovative extruded snack products</t>
  </si>
  <si>
    <t>ready-to-eat, extrusion, snacks, expanded products</t>
  </si>
  <si>
    <t>KAU-030</t>
  </si>
  <si>
    <t>Jackfruit Bulb Slicer</t>
  </si>
  <si>
    <t>Slicing equipment developed for processing jackfruit bulbs during food preparation and value-addition activities. The technology supports efficient handling of jackfruit materials.</t>
  </si>
  <si>
    <t>Jackfruit processing and value-addition industries
Fruit processing MSMEs and agro-processing units
Ready-to-eat and convenience food manufacturers
Farmer producer organizations (FPOs) and jackfruit producer companies
Food processing equipment manufacturers and fabricators</t>
  </si>
  <si>
    <t>jackfruit, slicer, food processing, equipment</t>
  </si>
  <si>
    <t>KAU-031</t>
  </si>
  <si>
    <t>Vacuum Frying System for Fruits and Vegetables</t>
  </si>
  <si>
    <t>Food Processing Equipment</t>
  </si>
  <si>
    <t>Quality degradation during conventional frying of fruits and vegetables</t>
  </si>
  <si>
    <t>Vacuum frying system designed for processing fruits and vegetables under controlled conditions. The technology supports production of fried products while utilizing vacuum-based processing techniques.</t>
  </si>
  <si>
    <t>Fruit and vegetable processing industries
Healthy snack and premium food product manufacturers
Food processing MSMEs and agro-processing enterprises
Export-oriented processed food companies
Agri-food startups developing value-added fruit and vegetable snacks</t>
  </si>
  <si>
    <t>vacuum frying, fruits, vegetables, food processing</t>
  </si>
  <si>
    <t>KAU-032</t>
  </si>
  <si>
    <t>Nutrient Enriched Spray Dried Banana Pseudo Stem Juice Powder</t>
  </si>
  <si>
    <t>Underutilization of banana pseudo stem and need for nutrient-rich products</t>
  </si>
  <si>
    <t>Spray-dried powder developed from banana pseudo stem juice. The technology supports value addition of banana plant materials and production of nutrient-enriched food ingredients.</t>
  </si>
  <si>
    <t>Functional and fortified food ingredient manufacturers
Nutraceutical and wellness product companies
Banana processing and value-addition enterprises
Health beverage and dietary supplement manufacturers
Agri-food startups utilizing agricultural by-products for value-added products</t>
  </si>
  <si>
    <t>banana pseudostem, spray dried powder, nutrient enriched, value addition</t>
  </si>
  <si>
    <t>KAU-033</t>
  </si>
  <si>
    <t>Tractor Operated Ginger Planter</t>
  </si>
  <si>
    <t>Labour-intensive ginger planting operations</t>
  </si>
  <si>
    <t>Tractor-operated equipment developed for planting ginger in agricultural fields. The technology supports mechanized planting and improves operational efficiency during crop establishment.</t>
  </si>
  <si>
    <t>Ginger cultivation and commercial spice farming enterprises
Agricultural machinery and farm equipment manufacturers
Custom hiring centers and mechanized farming service providers
Farmer producer organizations (FPOs) and agricultural cooperatives
Government agriculture departments and farm mechanization programs</t>
  </si>
  <si>
    <t>ginger planter, tractor operated, mechanization, agriculture</t>
  </si>
  <si>
    <t>KAU-034</t>
  </si>
  <si>
    <t>Coconut Wood Preservation - Inorganic Treatment</t>
  </si>
  <si>
    <t>Wood Treatment Technology</t>
  </si>
  <si>
    <t>Limited durability of coconut wood under service conditions</t>
  </si>
  <si>
    <t>Inorganic treatment technology developed for preservation of coconut wood. The process is intended to improve the suitability of coconut wood for various applications by enhancing preservation characteristics.</t>
  </si>
  <si>
    <t>Coconut wood processing and timber utilization industries
Furniture and interior product manufacturers
Construction and building material companies
Wood preservation and treatment service providers
Coconut development agencies and plantation-based enterprises</t>
  </si>
  <si>
    <t>coconut wood, preservation, wood treatment, materials</t>
  </si>
  <si>
    <t>KAU-035</t>
  </si>
  <si>
    <t>Spray Dried Coconut Toddy Powder</t>
  </si>
  <si>
    <t>Food Processing Technology</t>
  </si>
  <si>
    <t>Limited shelf life and handling challenges of coconut toddy</t>
  </si>
  <si>
    <t>Spray-dried powder prepared from coconut toddy for improved storage, handling, and utilization. The technology supports value addition of coconut-derived products.</t>
  </si>
  <si>
    <t>Beverage ingredieCoconut processing and value-addition enterprises
Food ingredient and specialty powder manufacturers
Beverage and fermented food product companies
Nutraceutical and wellness product manufacturers
Agri-food startups developing innovative coconut-based productsnts, food products</t>
  </si>
  <si>
    <t>coconut toddy, spray dried powder, food processing</t>
  </si>
  <si>
    <t>KAU-036</t>
  </si>
  <si>
    <t>Spray Dried Neera Powder</t>
  </si>
  <si>
    <t>Limited shelf life of fresh neera and transportation constraints</t>
  </si>
  <si>
    <t>Spray-dried powder produced from neera to improve storage stability and enable wider utilization of the product. The technology supports value addition of coconut sap-based products.</t>
  </si>
  <si>
    <t>Coconut sap processing and value-addition enterprises
Food ingredient and natural sweetener manufacturers
Beverage, bakery, and confectionery product companies
Health food and nutraceutical product manufacturers
Farmer producer organizations (FPOs) and coconut-based agri-enterprises</t>
  </si>
  <si>
    <t>neera, spray dried powder, coconut sap, food ingredients</t>
  </si>
  <si>
    <t>KAU-037</t>
  </si>
  <si>
    <t>Coconut Milk Based Ready-to-Serve Beverage</t>
  </si>
  <si>
    <t>Need for value-added coconut-based beverage products</t>
  </si>
  <si>
    <t>Ready-to-serve beverage developed using coconut milk as the primary ingredient. The technology supports diversification of coconut-based food products and beverage applications.</t>
  </si>
  <si>
    <t>Beverage manufacturing and dairy alternative product companies
Coconut processing and value-addition enterprises
Health food and functional beverage brands
Food service, hospitality, and institutional catering providers
Agri-food startups developing coconut-based ready-to-drink products</t>
  </si>
  <si>
    <t>coconut milk, ready-to-serve, beverage, coconut products</t>
  </si>
  <si>
    <t>KAU-038</t>
  </si>
  <si>
    <t>Jamun Nectar</t>
  </si>
  <si>
    <t>Limited value-added utilization of Jamun fruit</t>
  </si>
  <si>
    <t>Nectar product prepared from Jamun fruit for beverage applications. The technology supports fruit utilization and development of processed fruit-based products.</t>
  </si>
  <si>
    <t>Fruit beverage and juice manufacturing companies
Jamun processing and value-addition enterprises
Health drink and functional beverage brands
Farmer producer organizations (FPOs) and fruit-based agro-processing units
Agri-food startups developing value-added fruit beverages and wellness drinks</t>
  </si>
  <si>
    <t>jamun, nectar, fruit beverage, value addition</t>
  </si>
  <si>
    <t>IISR-001</t>
  </si>
  <si>
    <t>A Novel Method of Storing and Delivering PGPR Microbes Through Biocapsule</t>
  </si>
  <si>
    <t>ICAR-Indian Institute of Spices Research (IISR)</t>
  </si>
  <si>
    <t>Biofertilizer Technology</t>
  </si>
  <si>
    <t>Inefficient storage and delivery of beneficial PGPR microorganisms</t>
  </si>
  <si>
    <t>This technology provides a method for storing and delivering Plant Growth Promoting Rhizobacteria (PGPR) using a biocapsule system. The approach is intended to improve handling and application of beneficial microbes in agricultural systems while supporting plant growth promotion activities.</t>
  </si>
  <si>
    <t>Agricultural bio-input and microbial inoculant manufacturers
Organic farming and sustainable agriculture enterprises
Seed treatment and crop nutrition companies
Farmer producer organizations (FPOs) and agricultural cooperatives
Government agriculture departments and soil health management programs</t>
  </si>
  <si>
    <t>PGPR, biocapsule, biofertilizer, plant growth promotion, microbial delivery</t>
  </si>
  <si>
    <t>IISR-002</t>
  </si>
  <si>
    <t>A Seed Coating Composition and Process for Its Preparation</t>
  </si>
  <si>
    <t>Seed Treatment Technology</t>
  </si>
  <si>
    <t>Poor seed establishment and inefficient delivery of seed-applied inputs</t>
  </si>
  <si>
    <t>Seed coating composition and preparation process developed for agricultural applications. The technology enables coating of seeds with functional materials to support seed handling and crop establishment.</t>
  </si>
  <si>
    <t>Seed production and seed treatment companies
Agricultural input and crop nutrition manufacturers
Planting material and nursery development enterprises
Farmer producer organizations (FPOs) and agricultural cooperatives
Government agriculture departments and seed quality enhancement programs</t>
  </si>
  <si>
    <t>seed coating, seed treatment, agriculture, crop establishment</t>
  </si>
  <si>
    <t>IISR-003</t>
  </si>
  <si>
    <t>Trichoderma harzianum, a Biocontrol Agent Against Phytophthora Foot Rot – Talc Formulation</t>
  </si>
  <si>
    <t>Phytophthora foot rot disease in spice crops</t>
  </si>
  <si>
    <t>Talc-based formulation of Trichoderma harzianum developed as a biological control agent against Phytophthora foot rot. The formulation utilizes beneficial microorganisms to support disease management in agricultural production systems.</t>
  </si>
  <si>
    <t>Biopesticide and agricultural bio-input manufacturers
Spice crop cultivation enterprises (pepper, cardamom, ginger, etc.)
Organic farming and sustainable agriculture initiatives
Agricultural input companies and crop protection service providers
Farmer producer organizations (FPOs) and integrated disease management programs</t>
  </si>
  <si>
    <t>Trichoderma harzianum, biocontrol, foot rot, Phytophthora, crop protection</t>
  </si>
  <si>
    <t>IISR-004</t>
  </si>
  <si>
    <t>Pochonia chlamydosporia, a Biocontrol Agent Against Nematodes – Talc Formulation</t>
  </si>
  <si>
    <t>Crop damage caused by plant parasitic nematodes</t>
  </si>
  <si>
    <t>Talc-based formulation of Pochonia chlamydosporia developed for biological management of nematode infestations. The technology provides a microbial alternative for nematode control in agricultural systems.</t>
  </si>
  <si>
    <t>Biopesticide and agricultural bio-input manufacturers
Horticulture, plantation, and commercial crop cultivation enterprises
Organic farming and sustainable agriculture initiatives
Agricultural input companies and crop protection service providers
Farmer producer organizations (FPOs) and integrated nematode management programs</t>
  </si>
  <si>
    <t>Pochonia chlamydosporia, nematodes, biocontrol, talc formulation</t>
  </si>
  <si>
    <t>IISR-005</t>
  </si>
  <si>
    <t>Pochonia chlamydosporia, a Biocontrol Agent Against Nematodes – Liquid Formulation</t>
  </si>
  <si>
    <t>Crop losses caused by nematode infestations</t>
  </si>
  <si>
    <t>Liquid formulation of Pochonia chlamydosporia developed for biological control of nematodes. The technology offers a microbial approach to managing nematode-related crop problems in agricultural production systems.</t>
  </si>
  <si>
    <t>Pochonia, liquid formulation, nematode control, biocontrol agent</t>
  </si>
  <si>
    <t>IISR-006</t>
  </si>
  <si>
    <t>PGPR Microbial Consortium for Growth Promotion in Black Pepper</t>
  </si>
  <si>
    <t>Need for improved growth and productivity in black pepper cultivation</t>
  </si>
  <si>
    <t>PGPR microbial consortium formulated to support growth promotion in black pepper. The technology utilizes beneficial microorganisms that assist plant growth and improve crop performance under cultivation conditions.</t>
  </si>
  <si>
    <t>Agricultural bio-input and microbial inoculant manufacturers
Black pepper cultivation and plantation enterprises
Organic farming and sustainable agriculture initiatives
Farmer producer organizations (FPOs) and spice grower cooperatives
Agricultural extension agencies and crop productivity enhancement programs</t>
  </si>
  <si>
    <t>PGPR consortium, black pepper, biofertilizer, plant growth promotion</t>
  </si>
  <si>
    <t>IISR-007</t>
  </si>
  <si>
    <t>PGPR Talc Formulation for Seed Spices</t>
  </si>
  <si>
    <t>Limited availability of microbial growth-promoting inputs for seed spices</t>
  </si>
  <si>
    <t>Talc-based PGPR formulation developed for seed spice cultivation. The formulation enables application of beneficial microorganisms to support crop growth and agricultural productivity.</t>
  </si>
  <si>
    <t>Agricultural bio-input and microbial inoculant manufacturers
Seed spice cultivation enterprises (coriander, cumin, fennel, etc.)
Organic farming and sustainable agriculture initiatives
Farmer producer organizations (FPOs) and spice grower cooperatives
Agricultural input companies and crop productivity enhancement programs</t>
  </si>
  <si>
    <t>PGPR, seed spices, talc formulation, biofertilizer</t>
  </si>
  <si>
    <t>IISR-008</t>
  </si>
  <si>
    <t>PGPR Talc Formulation for Ginger</t>
  </si>
  <si>
    <t>Need for microbial growth-promoting inputs in ginger cultivation</t>
  </si>
  <si>
    <t>Talc-based PGPR formulation developed specifically for ginger cultivation. The technology supports plant growth promotion through application of beneficial microbial populations.</t>
  </si>
  <si>
    <t>Agricultural bio-input and microbial inoculant manufacturers
Ginger cultivation and commercial spice farming enterprises
Organic farming and sustainable agriculture initiatives
Farmer producer organizations (FPOs) and spice grower cooperatives
Agricultural input companies and crop productivity enhancement programs</t>
  </si>
  <si>
    <t>PGPR, ginger, talc formulation, microbial inoculant</t>
  </si>
  <si>
    <t>IISR-009</t>
  </si>
  <si>
    <t>A Micronutrient Composition for Ginger and a Process for Its Preparation (Soils with pH Above Seven)</t>
  </si>
  <si>
    <t>Micronutrient Formulation</t>
  </si>
  <si>
    <t>Micronutrient deficiencies in ginger cultivated in alkaline soils</t>
  </si>
  <si>
    <t>Micronutrient composition developed for ginger cultivation in soils with pH above seven. The formulation is designed to address nutrient deficiencies associated with alkaline soil conditions and support crop growth.</t>
  </si>
  <si>
    <t>Micronutrient fertilizer and specialty plant nutrition manufacturers
Ginger cultivation and commercial spice farming enterprises
Agricultural input companies and crop nutrition service providers
Farmer producer organizations (FPOs) and spice grower cooperatives
Government agriculture departments and soil fertility management programs</t>
  </si>
  <si>
    <t>micronutrients, ginger, alkaline soil, nutrient management</t>
  </si>
  <si>
    <t>IISR-010</t>
  </si>
  <si>
    <t>A Micronutrient Composition for Ginger and a Process for Its Preparation (Soils with pH Below Seven)</t>
  </si>
  <si>
    <t>Micronutrient deficiencies in ginger cultivated in acidic soils</t>
  </si>
  <si>
    <t>Micronutrient formulation developed for ginger production in soils with pH below seven. The technology is intended to support nutrient management and crop performance under acidic soil conditions.</t>
  </si>
  <si>
    <t>ICAR-IISR</t>
  </si>
  <si>
    <t>ginger, micronutrients, acidic soil, nutrient management</t>
  </si>
  <si>
    <t>IISR-011</t>
  </si>
  <si>
    <t>A Micronutrient Composition for Turmeric and a Process for Its Preparation (Soils with pH Above Seven)</t>
  </si>
  <si>
    <t>Nutrient deficiencies affecting turmeric cultivation in alkaline soils</t>
  </si>
  <si>
    <t>Micronutrient composition formulated for turmeric grown in soils with pH above seven. The technology supports balanced nutrient supply and crop management in alkaline soil environments.</t>
  </si>
  <si>
    <t>Micronutrient fertilizer and specialty plant nutrition manufacturers
Turmeric cultivation and commercial spice farming enterprises
Agricultural input companies and crop nutrition service providers
Farmer producer organizations (FPOs) and spice grower cooperatives
Government agriculture departments and soil fertility management programs</t>
  </si>
  <si>
    <t>turmeric, micronutrients, alkaline soil, nutrient management</t>
  </si>
  <si>
    <t>IISR-012</t>
  </si>
  <si>
    <t>A Micronutrient Composition for Turmeric and a Process for Its Preparation (Soils with pH Below Seven)</t>
  </si>
  <si>
    <t>Nutrient deficiencies in turmeric cultivated in acidic soils</t>
  </si>
  <si>
    <t>Micronutrient formulation developed for turmeric cultivation in soils with pH below seven. The composition is intended to address crop nutrient requirements under acidic soil conditions.</t>
  </si>
  <si>
    <t>turmeric, micronutrients, acidic soil, soil fertility</t>
  </si>
  <si>
    <t>IISR-013</t>
  </si>
  <si>
    <t>A Micronutrient Composition for Black Pepper and a Process for Its Preparation</t>
  </si>
  <si>
    <t>Nutrient deficiencies affecting black pepper productivity</t>
  </si>
  <si>
    <t>Micronutrient composition formulated for black pepper cultivation. The technology supports nutrient management practices intended to improve crop growth and productivity.</t>
  </si>
  <si>
    <t>Micronutrient fertilizer and specialty plant nutrition manufacturers
Black pepper cultivation and plantation enterprises
Agricultural input companies and crop nutrition service providers
Farmer producer organizations (FPOs) and spice grower cooperatives
Government agriculture departments and spice productivity enhancement programs</t>
  </si>
  <si>
    <t>black pepper, micronutrients, nutrient management, spices</t>
  </si>
  <si>
    <t>IISR-014</t>
  </si>
  <si>
    <t>A Micronutrient Composition for Cardamom and a Process for Its Preparation</t>
  </si>
  <si>
    <t>Nutrient deficiencies in cardamom cultivation</t>
  </si>
  <si>
    <t>Micronutrient composition developed for cardamom cultivation to support balanced nutrition and crop growth. The formulation is intended for nutrient management in cardamom production systems.</t>
  </si>
  <si>
    <t>Micronutrient fertilizer and specialty plant nutrition manufacturers
Cardamom cultivation and plantation enterprises
Agricultural input companies and crop nutrition service providers
Farmer producer organizations (FPOs) and spice grower cooperatives
Government agriculture departments and spice productivity enhancement programs</t>
  </si>
  <si>
    <t>cardamom, micronutrients, nutrient management, spices</t>
  </si>
  <si>
    <t>IISR-015</t>
  </si>
  <si>
    <t>Golden Milk Mix</t>
  </si>
  <si>
    <t>Need for convenient spice-based beverage formulations</t>
  </si>
  <si>
    <t>Golden Milk Mix is a spice-based formulation developed for preparation of golden milk beverages. The product enables convenient incorporation of spice ingredients into milk-based drinks and related food applications.</t>
  </si>
  <si>
    <t>Functional and health beverage manufacturers
Spice processing and value-addition enterprises
Nutraceutical and wellness product companies
Dairy and plant-based beverage brands
Agri-food startups developing ready-to-mix and wellness beverage products</t>
  </si>
  <si>
    <t>golden milk, spice mix, beverage mix, functional food, turmeric beverage</t>
  </si>
  <si>
    <t>CDAC-001</t>
  </si>
  <si>
    <t>AI-Based Cervical Cancer Screening System(CerviSCAN)</t>
  </si>
  <si>
    <t>Centre for Development of Advanced Computing (C-DAC)</t>
  </si>
  <si>
    <t>AI Diagnostic System</t>
  </si>
  <si>
    <t>Limited access to efficient cervical cancer screening</t>
  </si>
  <si>
    <t>CerviSCAN is an indigenized cervical cancer screening system that combines artificial intelligence and robotics to support large-scale screening. The system includes AI-powered digital cytology, robotic slide staining, cytospin centrifugation, and indigenous monolayer smear preparation technologies. It is designed to improve the feasibility and efficiency of cervical cancer screening programs.</t>
  </si>
  <si>
    <t>Hospitals, cancer care centers, and gynecology clinics
Diagnostic laboratories and pathology service providers
Public health screening and women's healthcare programs
Medical device and digital health technology companies
Government health departments, NGOs, and population screening initiatives</t>
  </si>
  <si>
    <t>cervical cancer, AI diagnostics, robotics, digital cytology, healthcare screening</t>
  </si>
  <si>
    <t>CDAC-002</t>
  </si>
  <si>
    <t>Maxillofacial Surgery Planning and Simulation Software-(MaxSim)</t>
  </si>
  <si>
    <t>Medical Planning Software</t>
  </si>
  <si>
    <t>Complexity in planning and evaluating maxillofacial surgical procedures</t>
  </si>
  <si>
    <t>MaxSim is a facial surgery planning and simulation system designed for diagnosis, treatment planning, and evaluation of maxillofacial treatment outcomes. The software assists clinicians in visualizing treatment options and supports informed decision-making during surgical planning.</t>
  </si>
  <si>
    <t>Maxillofacial surgery and dental specialty hospitals
Craniofacial reconstruction and plastic surgery centers
Dental colleges, teaching hospitals, and medical universities
Medical imaging and surgical planning software companies
Healthcare institutions adopting digital surgery and treatment planning solutions</t>
  </si>
  <si>
    <t>facial surgery, maxillofacial, treatment planning, simulation software</t>
  </si>
  <si>
    <t>CDAC-003</t>
  </si>
  <si>
    <t xml:space="preserve">Medical Imaging and Implant Design Platform (SRISTI-3D) </t>
  </si>
  <si>
    <t>Medical Imaging Software</t>
  </si>
  <si>
    <t>Difficulty in visualizing complex anatomical structures for implant planning</t>
  </si>
  <si>
    <t>SRISTI is a software platform for 3D visualization of CT and MRI images and the creation of anatomical models and prosthetic implants. The system supports rapid prototyping workflows and enables visualization of image data from multiple modalities while reducing complexity in medical image interpretation.</t>
  </si>
  <si>
    <t>Hospitals and advanced medical imaging centers
Orthopedic, craniofacial, and reconstructive surgery departments
Medical device, implant design, and 3D printing companies
Medical colleges, research institutions, and teaching hospitals
Healthcare technology companies developing digital surgery and personalized implant solutions</t>
  </si>
  <si>
    <t>CT scan, MRI, 3D visualization, prosthetics, medical imaging</t>
  </si>
  <si>
    <t>CDAC-004</t>
  </si>
  <si>
    <t>Digital Programmable Hearing Aid (TARANG)</t>
  </si>
  <si>
    <t>Digital Hearing Aid</t>
  </si>
  <si>
    <t>Need for advanced hearing assistance and improved audio processing</t>
  </si>
  <si>
    <t>TARANG is a feature-rich digital programmable hearing aid that uses sophisticated digital signal processing techniques. It incorporates a specialized integrated circuit and is designed to provide stable performance across a wide dynamic range for individuals with hearing impairments.</t>
  </si>
  <si>
    <t>Audiology clinics and hearing care centers
Hospitals, ENT departments, and rehabilitation facilities
Hearing aid manufacturers and medical device companies
Government healthcare programs and assistive technology initiatives
NGOs, special education institutions, and organizations supporting persons with hearing impairments</t>
  </si>
  <si>
    <t>hearing aid, DSP, audiology, assistive technology, TARANG</t>
  </si>
  <si>
    <t>CDAC-005</t>
  </si>
  <si>
    <t>Virtual Endoscopy Visualization Software (VIEW)</t>
  </si>
  <si>
    <t>Medical Visualization Software</t>
  </si>
  <si>
    <t>Limited visualization and navigation capabilities during colon reconstruction analysis</t>
  </si>
  <si>
    <t>VIEW is a virtual endoscopy visualization software developed for 3D reconstruction of colon structures from CT imaging data. The platform provides interactive visualization and navigation through reconstructed anatomical models to assist clinical analysis and interpretation.</t>
  </si>
  <si>
    <t>Hospitals, diagnostic imaging centers, and gastroenterology departments
Medical imaging and radiology software companies
Medical colleges, teaching hospitals, and clinical research institutions
Healthcare technology firms developing advanced visualization solutions
Organizations implementing virtual diagnostics and computer-assisted clinical analysis systems</t>
  </si>
  <si>
    <t>virtual endoscopy, colon reconstruction, CT imaging, visualization</t>
  </si>
  <si>
    <t>CDAC-006</t>
  </si>
  <si>
    <t>Env-Intelligent Traffic Signal Optimization System (CoSiCoSt)</t>
  </si>
  <si>
    <t>Traffic Control Software</t>
  </si>
  <si>
    <t>Traffic congestion caused by poor lane discipline and heterogeneous traffic conditions</t>
  </si>
  <si>
    <t>CoSiCoSt-Env is a composite signal control strategy that optimizes signal timing using weighted combinations of delays and stop counts. The system is designed for Indian traffic conditions and supports real-time traffic management in highly heterogeneous environments.</t>
  </si>
  <si>
    <t>Smart city and intelligent transportation system (ITS) projects
Urban local bodies, municipal corporations, and traffic management authorities
Traffic signal equipment manufacturers and system integrators
Transportation planning, mobility, and infrastructure consulting firms
Government agencies implementing smart mobility and congestion management solutions</t>
  </si>
  <si>
    <t>traffic control, signal optimization, transportation, smart city</t>
  </si>
  <si>
    <t>CDAC-007</t>
  </si>
  <si>
    <t>IoT Middleware for Smart Transportation Systems (CoSMiC)</t>
  </si>
  <si>
    <t>IoT Middleware Platform</t>
  </si>
  <si>
    <t>Lack of interoperability and secure data exchange challenges between IoT devices and applications</t>
  </si>
  <si>
    <t>CoSMiC is a middleware platform that connects IoT field devices with application software. It supports interoperability, secure data sharing, and deployment of multiple applications within intelligent transportation ecosystems and other IoT environments.</t>
  </si>
  <si>
    <t>Smart transportation and intelligent transportation system (ITS) projects
Smart city platforms and urban infrastructure management agencies
IoT solution providers, system integrators, and technology companies
Traffic management, mobility, and transportation analytics organizations
Government agencies and enterprises deploying large-scale IoT ecosystems</t>
  </si>
  <si>
    <t>IoT, middleware, smart transportation, interoperability, connected devices</t>
  </si>
  <si>
    <t>CDAC-008</t>
  </si>
  <si>
    <t>Adaptive Urban Traffic Signal Controller (CUTE/WiTrac)</t>
  </si>
  <si>
    <t>Adaptive Traffic Control System</t>
  </si>
  <si>
    <t>Inefficient traffic signal control at busy intersections</t>
  </si>
  <si>
    <t>CUTE/WiTrac is an adaptive traffic signal controller that supports pre-timed, vehicle-actuated, and adaptive modes of operation. The system enables coordinated signal control across multiple junctions and integrates with urban traffic management infrastructure.</t>
  </si>
  <si>
    <t>Smart city and intelligent transportation system (ITS) projects
Traffic management authorities and urban local bodies
Traffic signal equipment manufacturers and system integrators
Urban mobility, transportation planning, and infrastructure consulting firms
Government agencies implementing adaptive traffic management and smart mobility solutions</t>
  </si>
  <si>
    <t>adaptive traffic control, smart city, signal controller, WiTrac</t>
  </si>
  <si>
    <t>CDAC-009</t>
  </si>
  <si>
    <t>Emergency Service Vehicle Priority System (EmSerV)</t>
  </si>
  <si>
    <t>Intelligent Transportation System</t>
  </si>
  <si>
    <t>Delays faced by emergency vehicles at signalized intersections</t>
  </si>
  <si>
    <t>EmSerV provides priority movement for emergency service vehicles by integrating GPS-based geo-fencing and traffic signal control. The system identifies emergency vehicles approaching intersections and supports priority passage through coordinated signal management.</t>
  </si>
  <si>
    <t>Emergency response services, including ambulance, fire, and police fleets
Smart city and intelligent transportation system (ITS) projects
Traffic management authorities and urban local bodies
Traffic signal control and smart mobility solution providers
Government agencies implementing emergency response and public safety infrastructure</t>
  </si>
  <si>
    <t>emergency vehicles, GPS, traffic signals, priority system</t>
  </si>
  <si>
    <t>CDAC-010</t>
  </si>
  <si>
    <t xml:space="preserve"> Pedestrian Safety Enhancement Controller (PeSCo)</t>
  </si>
  <si>
    <t>Smart Traffic Safety System</t>
  </si>
  <si>
    <t>Unsafe pedestrian crossings, especially for persons with disabilities</t>
  </si>
  <si>
    <t>PeSCo is a pedestrian signal controller that identifies crossing demands through push-button, RFID, and ultrasonic sensing technologies. The system adjusts crossing times according to user requirements and supports safer pedestrian movement at signalized intersections.</t>
  </si>
  <si>
    <t>Smart city and intelligent transportation system (ITS) projects
Traffic management authorities and urban local bodies
Pedestrian safety and urban mobility infrastructure providers
Traffic signal equipment manufacturers and system integrators
Government agencies implementing road safety and inclusive mobility initiatives</t>
  </si>
  <si>
    <t>pedestrian safety, RFID, ultrasonic sensor, smart crossings</t>
  </si>
  <si>
    <t>CDAC-011</t>
  </si>
  <si>
    <t>Adaptive Traffic Monitoring and Management Platform (TraMM-EnV)</t>
  </si>
  <si>
    <t>Traffic Management Software</t>
  </si>
  <si>
    <t>Difficulty in monitoring and controlling adaptive traffic systems remotely</t>
  </si>
  <si>
    <t>TraMM-EnV is a traffic management software platform that supports monitoring and management of adaptive traffic signal controllers. It provides visualization, analytics, and remote control capabilities for traffic operations within urban transportation networks.</t>
  </si>
  <si>
    <t>Smart city and intelligent transportation system (ITS) projects
Traffic management centers and urban local bodies
Transportation analytics and mobility management organizations
Traffic signal system integrators and smart infrastructure providers
Government agencies implementing adaptive traffic monitoring and urban mobility solutions</t>
  </si>
  <si>
    <t>traffic management, adaptive traffic control, monitoring software</t>
  </si>
  <si>
    <t>CDAC-012</t>
  </si>
  <si>
    <t>Power System Simulation and Training Platform-(FSS Mini)</t>
  </si>
  <si>
    <t>Simulation System</t>
  </si>
  <si>
    <t>Limited access to power system simulation tools for education and small-scale studies</t>
  </si>
  <si>
    <t>FSS Mini is a miniature full-spectrum simulator capable of providing offline and real-time simulation of power systems. It is intended for educational applications and small-scale system simulation studies.</t>
  </si>
  <si>
    <t>Engineering colleges, universities, and technical training institutes
Power system research and development laboratories
Electric utilities and power distribution companies
Industrial training centers and skill development organizations
Power system software, simulation, and testing solution providers</t>
  </si>
  <si>
    <t>power simulation, educational tool, real-time simulation</t>
  </si>
  <si>
    <t>CDAC-013</t>
  </si>
  <si>
    <t>Grid-Interactive Solar Power Management System (GISPV)</t>
  </si>
  <si>
    <t>Solar Power Control System</t>
  </si>
  <si>
    <t>Power quality and power export management challenges in grid-connected solar photovoltaic systems</t>
  </si>
  <si>
    <t>GISPV supports grid-interactive solar photovoltaic systems by managing power export while maintaining power quality. The system includes control hardware and software designed for solar energy integration and monitoring.</t>
  </si>
  <si>
    <t>Solar photovoltaic system integrators and EPC companies
Commercial, industrial, and institutional solar power installations
Power utilities and distributed energy management organizations
Renewable energy technology companies and smart grid solution providers
Government agencies and programs promoting grid-connected solar energy adoption</t>
  </si>
  <si>
    <t>solar PV, grid interactive, renewable energy, power quality</t>
  </si>
  <si>
    <t>CDAC-014</t>
  </si>
  <si>
    <t>High-Speed Power Electronics Controller (HSRPEC)</t>
  </si>
  <si>
    <t>Power Electronics Controller</t>
  </si>
  <si>
    <t>Need for configurable high-speed control systems in power electronics applications</t>
  </si>
  <si>
    <t>HSRPEC is a reconfigurable high-speed power electronics controller designed for real-time control and monitoring of power electronic systems. The controller combines conventional embedded architectures with digital signal processing capabilities.</t>
  </si>
  <si>
    <t>Power electronics and industrial automation companies
Renewable energy, solar inverter, and energy storage system developers
Electric vehicle (EV) powertrain and charging infrastructure manufacturers
Power system research laboratories and engineering institutions
Industrial equipment manufacturers requiring real-time control and monitoring solutions</t>
  </si>
  <si>
    <t>power electronics, controller, DSP, real-time control</t>
  </si>
  <si>
    <t>CDAC-015</t>
  </si>
  <si>
    <t>MicroGrid for Remote Villages-Rural Microgrid Power Supply System</t>
  </si>
  <si>
    <t>Microgrid Technology</t>
  </si>
  <si>
    <t>Lack of reliable electricity in remote rural regions</t>
  </si>
  <si>
    <t>This microgrid system integrates distributed energy resources and loads to provide localized power generation and distribution. The technology is intended to deliver reliable electricity to rural areas where conventional grid connectivity is challenging.</t>
  </si>
  <si>
    <t>Rural electrification and decentralized energy projects
Renewable energy developers and microgrid solution providers
Government agencies implementing village electrification programs
NGOs and development organizations working in remote communities
Industrial campuses, islands, and off-grid facilities requiring reliable localized power systems</t>
  </si>
  <si>
    <t>microgrid, rural electrification, distributed energy, renewable energy</t>
  </si>
  <si>
    <t>CDAC-016</t>
  </si>
  <si>
    <t>Smart Energy Metering System (SMART METER)</t>
  </si>
  <si>
    <t>Smart Metering System</t>
  </si>
  <si>
    <t>Need for advanced metering and monitoring of distributed energy systems</t>
  </si>
  <si>
    <t>SMART METER is an energy metering solution compliant with Indian standards and supports advanced metering infrastructure. The system enables communication-enabled monitoring of distributed generation and energy usage.</t>
  </si>
  <si>
    <t>Power utilities and electricity distribution companies
Smart grid and advanced metering infrastructure (AMI) projects
Renewable energy and distributed energy resource operators
Industrial, commercial, and institutional energy management systems
Government agencies and smart city initiatives focused on energy monitoring and efficiency</t>
  </si>
  <si>
    <t>smart meter, AMI, energy monitoring, smart grid</t>
  </si>
  <si>
    <t>CDAC-017</t>
  </si>
  <si>
    <t>Power Quality Improvement and Grid Stabilization System (STATCOM)</t>
  </si>
  <si>
    <t>Power Quality System</t>
  </si>
  <si>
    <t>Voltage fluctuations, harmonic currents, and reactive power issues affecting power quality.</t>
  </si>
  <si>
    <t>STATCOM is a static compensator designed to improve power quality by mitigating voltage fluctuations, harmonic currents, and reactive power issues. The system supports stable and efficient grid operation under varying conditions.</t>
  </si>
  <si>
    <t>Electric utilities and power transmission/distribution companies
Renewable energy plants (solar, wind, and hybrid power systems)
Industrial manufacturing facilities with sensitive electrical loads
Smart grid, substation modernization, and power quality improvement projects
Engineering, procurement, and construction (EPC) companies specializing in power infrastructure</t>
  </si>
  <si>
    <t>STATCOM, power quality, reactive power, grid stability</t>
  </si>
  <si>
    <t>CDAC-018</t>
  </si>
  <si>
    <t>IoT-Based Red Palm Weevil Detection System (ARPWD)</t>
  </si>
  <si>
    <t>IoT Monitoring System</t>
  </si>
  <si>
    <t>Difficulty in early detection of Red Palm Weevil infestation</t>
  </si>
  <si>
    <t>ARPWD is an IoT-based acoustic detection system that identifies sounds and vibrations associated with Red Palm Weevil activity. The system communicates alerts through LoRaWAN and web-based monitoring platforms to support pest management.</t>
  </si>
  <si>
    <t>Coconut, date palm, and oil palm plantation enterprises
Agricultural IoT and precision farming technology companies
Pest monitoring and crop protection service providers
Farmer producer organizations (FPOs) and plantation grower cooperatives
Government agriculture departments and integrated pest management programs</t>
  </si>
  <si>
    <t>red palm weevil, IoT, LoRaWAN, pest monitoring, agriculture</t>
  </si>
  <si>
    <t>CDAC-019</t>
  </si>
  <si>
    <t>Remote Water and Wastewater Monitoring System (NIRCHHARI)</t>
  </si>
  <si>
    <t>Sensor Technology</t>
  </si>
  <si>
    <t>Need for remote monitoring of water and wastewater infrastructure</t>
  </si>
  <si>
    <t>NIRCHHARI is an ultrasonic sensor-based monitoring system for water and wastewater assets such as rivers, channels, tanks, and sewers. The system measures conditions remotely and communicates data for infrastructure monitoring and alert generation.</t>
  </si>
  <si>
    <t>Water supply and wastewater management utilities
Smart city and urban infrastructure monitoring projects
Municipal corporations and local government bodies
Environmental monitoring and water resource management agencies
IoT solution providers and industrial automation companies developing remote monitoring systems</t>
  </si>
  <si>
    <t>ultrasonic sensor, water monitoring, wastewater, remote sensing</t>
  </si>
  <si>
    <t>CDAC-020</t>
  </si>
  <si>
    <t>Hearing Aid Configuration and Audiology Software (SHRUTHI)</t>
  </si>
  <si>
    <t>Hearing Aid Customization Software</t>
  </si>
  <si>
    <t>Difficulty in tailoring hearing aids to individual hearing profiles</t>
  </si>
  <si>
    <t>SHRUTHI is a software application used for customizing TARANG hearing aids. It includes modules for client management, audiometric analysis, and fitting procedures, enabling audiologists to configure hearing aids according to individual requirements.</t>
  </si>
  <si>
    <t>Audiology clinics and hearing care centers
Hospitals, ENT departments, and rehabilitation facilities
Hearing aid manufacturers and assistive technology companies
Special education institutions and hearing rehabilitation programs
Government healthcare agencies and organizations supporting persons with hearing impairments</t>
  </si>
  <si>
    <t>hearing aid software, audiology, customization, TARANG</t>
  </si>
  <si>
    <t>CDAC-021</t>
  </si>
  <si>
    <t>Underwater Drone-Tethered Underwater Inspection Robot</t>
  </si>
  <si>
    <t>Robotics, Automation &amp; Drones</t>
  </si>
  <si>
    <t>Robotic System</t>
  </si>
  <si>
    <t>Need for controlled underwater inspection and operation capabilities</t>
  </si>
  <si>
    <t>The Underwater Drone is a tethered submersible robotic platform that can be operated in water while connected to a control station through an umbilical cable. The system supports transmission of power, video, and data signals between the operator and the robotic platform.</t>
  </si>
  <si>
    <t>Underwater inspection and marine engineering service providers
Ports, harbours, and coastal infrastructure management agencies
Oil &amp; gas, offshore energy, and subsea asset inspection companies
Defence, maritime security, and disaster response organizations
Research institutions, aquaculture enterprises, and environmental monitoring agencies</t>
  </si>
  <si>
    <t>underwater drone, robotics, submersible, marine inspection, ROV</t>
  </si>
  <si>
    <t>SCTIMST-001</t>
  </si>
  <si>
    <t>Chitosan-Based Polymeric Wound Dressing for Chronic and Infected Wounds</t>
  </si>
  <si>
    <t>Sree Chitra Tirunal Institute for Medical Sciences and Technology (SCTIMST)</t>
  </si>
  <si>
    <t>Wound Care Biomaterial</t>
  </si>
  <si>
    <t>Management of chronic non-healing and infected wounds.</t>
  </si>
  <si>
    <t>The chitosan-based polymeric wound dressing is designed for chronic non-healing and infected wounds. The sponge-like dressing enables controlled delivery of antimicrobial drugs directly to the wound site. The drug can be loaded by the doctor as per the need by a simple mechanism.</t>
  </si>
  <si>
    <t>Hospitals, wound care centers, and specialty healthcare facilities
Medical device and advanced wound dressing manufacturers
Pharmaceutical companies developing wound management solutions
Home healthcare and chronic care service providers
Defence medical services, trauma care units, and rehabilitation centers</t>
  </si>
  <si>
    <t>wound dressing, chitosan, antimicrobial delivery, chronic wounds, biomaterials</t>
  </si>
  <si>
    <t>SCTIMST-002</t>
  </si>
  <si>
    <t>Synthetic Dura Substitute for Duramater Repair</t>
  </si>
  <si>
    <t>Implantable Biomaterial</t>
  </si>
  <si>
    <t>Dura mater defects and cerebrospinal fluid leakage following neurosurgical procedures</t>
  </si>
  <si>
    <t>The synthetic non-degradable dura substitute is developed for repairing defects in the dura mater following neurosurgical interventions. The electrospun polycarbonate urethane material acts as a temporary or permanent prosthesis, helping restore the anatomical barrier and reduce complications associated with cerebrospinal fluid leakage.</t>
  </si>
  <si>
    <t>Neurosurgery hospitals and specialty neurological care centers
Medical device and biomaterial manufacturing companies
Cranial and spinal surgery healthcare providers
Research institutions and biomedical engineering organizations
Defence medical services and advanced trauma care facilities</t>
  </si>
  <si>
    <t>dura substitute, neurosurgery, biomaterial, CSF leakage, implant</t>
  </si>
  <si>
    <t>SCTIMST-003</t>
  </si>
  <si>
    <t>Intracranial Electrodes for Epilepsy Monitoring</t>
  </si>
  <si>
    <t>Medical Device</t>
  </si>
  <si>
    <t>Difficulty in accurately localizing epileptogenic zones for epilepsy surgery planning</t>
  </si>
  <si>
    <t>These intracranial electrodes are designed for electrophysiological monitoring and localization of epileptogenic zones in the brain. Constructed using platinum-iridium alloy and silicone rubber, the device provides high signal-to-noise ratio for precise signal acquisition and supports epilepsy surgery planning.</t>
  </si>
  <si>
    <t>Neurology and neurosurgery hospitals specializing in epilepsy treatment
Epilepsy monitoring units and advanced diagnostic centers
Medical device manufacturers producing neurodiagnostic equipment
Research institutions and neuroscience laboratories
Healthcare organizations involved in surgical planning and brain disorder management</t>
  </si>
  <si>
    <t>intracranial electrodes, epilepsy, neurology, brain monitoring, medical device</t>
  </si>
  <si>
    <t>SCTIMST-004</t>
  </si>
  <si>
    <t>UV-Protected Bioink for 3D Bioprinting Applications</t>
  </si>
  <si>
    <t>Bioink Technology</t>
  </si>
  <si>
    <t>Reduced cell viability during photocrosslinking in 3D bioprinting</t>
  </si>
  <si>
    <t>Chitra UVS GelMA is an optimized bioink formulation modified with UV-protective molecules to provide a safer microenvironment during photocrosslinking. The dried formulation can be readily solubilized in physiological solutions or cell culture media and directly combined with cells. Photocrosslinking with 365 nm UV light for less than two minutes produces a stable hydrogel that offers a non-cytotoxic 3D environment, supporting cell adhesion, migration, proliferation, and differentiation. The formulation shields cells from the harmful effects of UV exposure during crosslinking, ensuring high cell viability and functionality in 3D bioprinted constructs.</t>
  </si>
  <si>
    <t>3D bioprinting and tissue engineering companies
Regenerative medicine and cell therapy research organizations
Biomedical research laboratories and academic institutions
Pharmaceutical and biotechnology companies involved in drug discovery and testing
Medical device manufacturers developing advanced biofabrication and biomaterial solutions</t>
  </si>
  <si>
    <t>21–22</t>
  </si>
  <si>
    <t>bioink, GelMA, bioprinting, hydrogel, tissue engineering, regenerative medicine</t>
  </si>
  <si>
    <t>SCTIMST-005</t>
  </si>
  <si>
    <t>Recombinant Growth Factor-Based Wound Healing Scaffold</t>
  </si>
  <si>
    <t>Regenerative Medicine Technology</t>
  </si>
  <si>
    <t>Delayed wound healing in chronic wounds and diabetic conditions</t>
  </si>
  <si>
    <t>This wound healing technology incorporates recombinant growth factors such as VEGF and TGF-alpha within an alginate-based scaffold. The controlled delivery system is designed to enhance wound healing and support tissue regeneration by providing growth factors directly at the wound site.</t>
  </si>
  <si>
    <t>Advanced wound care and regenerative medicine centers
Hospitals, diabetic foot care clinics, and chronic wound management facilities
Biotechnology and pharmaceutical companies developing growth factor-based therapies
Medical device manufacturers producing bioactive wound healing products
Research institutions and tissue engineering organizations focused on regenerative healthcare solutions</t>
  </si>
  <si>
    <t>growth factors, wound healing, VEGF, TGF-alpha, alginate scaffold</t>
  </si>
  <si>
    <t>SCTIMST-006</t>
  </si>
  <si>
    <t>Programmable Implantable Micro Infusion Pump for Targeted Drug Delivery</t>
  </si>
  <si>
    <t>Implantable Medical Device</t>
  </si>
  <si>
    <t>Controlled and targeted delivery of therapeutic fluids to specific regions of the body.</t>
  </si>
  <si>
    <t>This implantable micro infusion pump is a programmable device designed to deliver bolus or basal doses of fluids to targeted regions of the body, including the peritoneal cavity and spinal cord. The system supports multiple flow and discharge modes, enabling controlled administration based on therapeutic requirements.</t>
  </si>
  <si>
    <t>Hospitals and specialty healthcare centers providing targeted drug therapies
Medical device manufacturers developing implantable therapeutic systems
Oncology, pain management, neurology, and critical care treatment facilities
Biotechnology and pharmaceutical companies working on controlled drug delivery solutions
Research institutions and biomedical engineering organizations developing advanced implantable medical technologies</t>
  </si>
  <si>
    <t>infusion pump, implantable device, drug delivery, programmable pump, medical device</t>
  </si>
  <si>
    <t>CMET-001</t>
  </si>
  <si>
    <t>Fibre Optic Probe for Portable Sensors (Gas or bio-sensors)</t>
  </si>
  <si>
    <t>C-MET Kerala</t>
  </si>
  <si>
    <t>Portable Sensor Technology, Gas detection, Biosensors</t>
  </si>
  <si>
    <t>Real-time detection and remote monitoring of gases such as ammonia and hydrogen</t>
  </si>
  <si>
    <t>Fiber optic probe with cost-effective custom-developed coating for portable sensing applications. Demonstrated for various gasses including ammonia and hydrogen along with appropriate sensing layers and optical instrumentation.  Working in the near infrared region and can be extended to online monitoring and remote sensing</t>
  </si>
  <si>
    <t>Industrial gas monitoring and process control systems
Environmental monitoring and air quality assessment agencies
Oil &amp; gas, chemical, fertilizer, and petrochemical industries
Healthcare, biotechnology, and biosensor development companies
IoT, remote sensing, and smart infrastructure solution providers</t>
  </si>
  <si>
    <t>C-MET Technology Booklet</t>
  </si>
  <si>
    <t>fiber optic, gas sensor, ammonia, hydrogen, remote sensing, industrial safety</t>
  </si>
  <si>
    <t>CMET-002</t>
  </si>
  <si>
    <t>Fast Response Thermal Sensors</t>
  </si>
  <si>
    <t>Thermal Sensor Technology, Thermistors</t>
  </si>
  <si>
    <t>Provides rapid and accurate temperature measurement in industrial, automotive, and medical systems.</t>
  </si>
  <si>
    <t>NTC Chip thermistors are extensively used for accurate temperature measurement and control in automobiles, medical field and electronic appliances. Fast response Chip in glass thermal sensor, an alternative to glass sealed bead and epoxy coated chip NTC thermistors combine the best characteristics of both types of thermal sensors. C-MET has developed variety of chip thermistor compositions and different sizes of chip thermistors having fast response.  C-MET has developed chip in glass thermal sensors having an operating range up to 450C</t>
  </si>
  <si>
    <t>Automotive electronics and engine temperature monitoring systems
Medical devices and healthcare equipment manufacturers
Industrial process control and automation industries
Consumer electronics and home appliance manufacturers
Sensor technology companies and IoT-based monitoring solution providers</t>
  </si>
  <si>
    <t>thermistor, thermal sensor, temperature monitoring, electronics, automotive</t>
  </si>
  <si>
    <t>CMET-003</t>
  </si>
  <si>
    <t>Graphene Supercapacitors</t>
  </si>
  <si>
    <t>Energy Storage Technology, Supercapacitors</t>
  </si>
  <si>
    <t>Enables efficient energy storage with high power output and long operational life.</t>
  </si>
  <si>
    <t>Supercapacitors can be used in a wide range of energy capture and storage applications. The advantages of supercapacitors include high power capability, long life, wide thermal operating range, low weight, flexible packaging, and low maintenance. They have already established their use in the automobile sector for hybrid drives and regenerative braking systems</t>
  </si>
  <si>
    <t>Electric vehicles (EVs), hybrid vehicles, and regenerative braking systems
Renewable energy storage and smart grid applications
Consumer electronics and portable power devices
Industrial power backup and energy management systems
Aerospace, defence, and high-performance energy storage solutions</t>
  </si>
  <si>
    <t>graphene, supercapacitor, energy storage, EV, renewable energy</t>
  </si>
  <si>
    <t>CMET-004</t>
  </si>
  <si>
    <t>Portable Biosensor for Detection of Food Borne Bacteria</t>
  </si>
  <si>
    <t xml:space="preserve">Biosensor Technology, Food contamination detection </t>
  </si>
  <si>
    <t>Enables rapid detection of food-borne pathogens and contaminants.</t>
  </si>
  <si>
    <t>Portable biosensor with disposable 1 in x 1 in chip for detection of food borne bacteria. Validated with Salmonella, E Coli O157:H7, Shigella, etc.  Jointly developed by C-MET Thrissur and Rajiv Gandhi Centre for Biotechnology(RGCB),Thiruvananthapuram</t>
  </si>
  <si>
    <t>Food safety testing laboratories and quality assurance agencies
Food processing, packaging, and export industries
Restaurants, catering services, and commercial food supply chains
Public health, regulatory, and food inspection authorities
Biotechnology, diagnostics, and biosensor manufacturing companies</t>
  </si>
  <si>
    <t>biosensor, food safety, Salmonella, E.coli, pathogen detection</t>
  </si>
  <si>
    <t>CMET-005</t>
  </si>
  <si>
    <t>Solar Lanterns</t>
  </si>
  <si>
    <t>Solar Energy Technology</t>
  </si>
  <si>
    <t>Provides reliable lighting in areas with limited or no access to electricity.</t>
  </si>
  <si>
    <t>A portable solar lantern with rechargeable battery storage and additional lighting features. It offers clean and affordable lighting for households and outdoor use.</t>
  </si>
  <si>
    <t>Rural electrification and off-grid energy projects
Disaster relief, emergency response, and humanitarian aid programs
Household, outdoor, and camping equipment markets
Government renewable energy and energy access initiatives
Solar product manufacturers, distributors, and clean energy enterprises</t>
  </si>
  <si>
    <t>solar lantern, solar lighting, renewable energy, battery storage</t>
  </si>
  <si>
    <t>CMET-006</t>
  </si>
  <si>
    <t>Digital Clinical Thermometer</t>
  </si>
  <si>
    <t>Medical Diagnostic Device Technology</t>
  </si>
  <si>
    <t>Enables quick and accurate body temperature measurement.</t>
  </si>
  <si>
    <t>A digital thermometer that uses thermistor technology to provide reliable temperature readings with improved visibility and ease of use.</t>
  </si>
  <si>
    <t>Hospitals, clinics, and healthcare facilities
Home healthcare and personal medical device markets
Medical equipment manufacturers and distributors
Public health programs and community healthcare initiatives
Pharmacies, diagnostic centers, and wellness product companies</t>
  </si>
  <si>
    <t>digital thermometer, thermistor, body temperature, healthcare, diagnostics</t>
  </si>
  <si>
    <t>CMET-007</t>
  </si>
  <si>
    <t>Transparent Conducting Lines on Glass</t>
  </si>
  <si>
    <t>Transparent Conductive Material Technology</t>
  </si>
  <si>
    <t>Enables electrical connections on glass without blocking visibility.</t>
  </si>
  <si>
    <t>A technology for creating low-resistance transparent conducting lines on glass surfaces. It allows electrical devices and displays to be integrated into transparent materials while maintaining visibility.</t>
  </si>
  <si>
    <t>Smart glass and intelligent window manufacturers
Display, touchscreen, and consumer electronics industries
Automotive glass and heads-up display (HUD) applications
Building automation and architectural glass solution providers
Solar photovoltaic and transparent electronics technology companies</t>
  </si>
  <si>
    <t>transparent conductor, smart glass, conductive coating, transparent electronics, display technology</t>
  </si>
  <si>
    <t>CMET-008</t>
  </si>
  <si>
    <t>Wearable Device for Breast Cancer Screening</t>
  </si>
  <si>
    <t>Medical Screening Device Technology</t>
  </si>
  <si>
    <t>Enables painless and accessible breast cancer screening.</t>
  </si>
  <si>
    <t>A wearable device with embedded thermal sensors designed for early breast cancer screening. It is portable, privacy-friendly, and suitable for large-scale screening in urban and rural areas.</t>
  </si>
  <si>
    <t>Hospitals, cancer care centers, and diagnostic clinics
Women's health and preventive healthcare programs
Medical device and digital health technology companies
Government health departments, NGOs, and mass screening initiatives
Telemedicine, remote healthcare, and community health service providers</t>
  </si>
  <si>
    <t>Registration Filed</t>
  </si>
  <si>
    <t>breast cancer, wearable device, thermal sensor, screening device, women's health, diagnostics</t>
  </si>
  <si>
    <t>CMET-009</t>
  </si>
  <si>
    <t>Anti-Fog Transparent Heating Film</t>
  </si>
  <si>
    <t>Functional Coating Technology</t>
  </si>
  <si>
    <t>Prevents fogging and frost formation on transparent surfaces.</t>
  </si>
  <si>
    <t>A transparent heating film that removes fog and frost from glass surfaces while maintaining visibility. It can be used in vehicles, refrigeration systems, and smart glass applications.</t>
  </si>
  <si>
    <t>Automotive windshield, rear-view mirror, and window manufacturers
Refrigeration, cold storage, and display cabinet industries
Smart glass, architectural glass, and building automation companies
Aerospace, marine, and transportation equipment manufacturers
Consumer electronics and transparent display technology providers</t>
  </si>
  <si>
    <t>transparent heater, anti-fog coating, anti-frost film, smart glass, heating film, transparent coating</t>
  </si>
  <si>
    <t>Millet-Based Functional Food Formulations</t>
  </si>
  <si>
    <t>Process Technology, Ready to prepare food, Functional Food</t>
  </si>
  <si>
    <t>Need for ready to prepare functional foods from traditional grains to aid in the prevention and management of lifestyle-associated diseases.</t>
  </si>
  <si>
    <t xml:space="preserve">Processes for the development of traditional millet-based and indigenous vegetable-based ready-to-prepare products, including soup mix, porridge, and upma. Traditional grains are sprouted, dehydrated, milled, and formulated into a variety of products that can be used as functional food for potential health benefits. </t>
  </si>
  <si>
    <t>Manufacturing of commercial functional breakfast mixes ,Production of ready-to-prepare therapeutic soup formulas , Processing of specialized geriatric and pediatric nutrition products ,Formulation of value-added traditional grain snacks</t>
  </si>
  <si>
    <t>Head, Research Planning &amp; Business Development</t>
  </si>
  <si>
    <t>rpbd@niist.res.in</t>
  </si>
  <si>
    <t>booklet_pdf_NIIST Brochure</t>
  </si>
  <si>
    <t>millet, functional food, porridge, soup mix, phytochemicals, traditional grains</t>
  </si>
  <si>
    <t>NIIST-010</t>
  </si>
  <si>
    <t>Dehumidified Dryer Technology for Agricultural Crops</t>
  </si>
  <si>
    <t>Device/Equipment</t>
  </si>
  <si>
    <t>Inefficient crop drying methods that lead to loss of nutrients and high energy consumption.</t>
  </si>
  <si>
    <t>A dehumidified dryer system for agricultural crops operating via a refrigeration system. It circulates dehumidified air at 40-50°C using a finned tube heat exchanger, evaporator, and condenser.</t>
  </si>
  <si>
    <t>Processing and post-harvest drying of commercial fruits , Dehydration of high-value plantation spices and herbs .Preservation drying of ornamental flowers and botanicals , Integration into small-scale decentralized agro-processing units</t>
  </si>
  <si>
    <t>dehumidified dryer, agricultural crops, heat exchanger, MSME, spice drying, fruit drying</t>
  </si>
  <si>
    <t>NIIST-011</t>
  </si>
  <si>
    <t>Microbial White Pepper Production Technology</t>
  </si>
  <si>
    <t>Process Technology, Biological Resource</t>
  </si>
  <si>
    <t>Need for an efficient and environmentally clean process for the de-skinning of pepper.</t>
  </si>
  <si>
    <t>A zero-discharge microbial bioprocess for white pepper production where fermentative de-skinning of pepper takes place. The technology has been awarded the NRDC technology Award and the WIPO Gold medal (2009).</t>
  </si>
  <si>
    <t xml:space="preserve"> Industrial processing of premium white pepper grades , Manufacturing of specialized biological retting formulations , Deployment in eco-friendly, zero-discharge spice processing centers ,Commercial cultivation value-addition loops for pepper farmers</t>
  </si>
  <si>
    <t>white pepper, microbial process, fermentative de-skinning, zero discharge, bioprocess</t>
  </si>
  <si>
    <t>NIIST-012</t>
  </si>
  <si>
    <t>Red Palmolein (RPO) Functional Food Technology</t>
  </si>
  <si>
    <t>Process Technology, Material/Formulation</t>
  </si>
  <si>
    <t>Vitamin A deficiency and malnutrition in women and children.</t>
  </si>
  <si>
    <t>A cost-effective process to produce Red Palmolein (RPO) as a functional food source of Vitamin A and Vitamin E. The process involves neutralization, winterization, filtration, and low-temperature vacuum deodorization of crude palm oil, utilized as a dietary approach through blended oil.</t>
  </si>
  <si>
    <t>Production of fortified edible blended cooking oils , Manufacturing of nutritional supplements combating vitamin deficiencies,Formulation of nutrient-dense ingredients for public food programs , Processing of high-carotene functional food oil bases</t>
  </si>
  <si>
    <t>red palmolein, vitamin A deficiency, functional food, beta-carotene, tocopherol, palm oil refining</t>
  </si>
  <si>
    <t>NIIST-013</t>
  </si>
  <si>
    <t>Raw Banana Composite Mix Production Technology</t>
  </si>
  <si>
    <t>Need for low-glycemic functional foods for diabetes management using value-added banana products.</t>
  </si>
  <si>
    <t>Processes for the development of a raw banana composite mix. The technology utilizes green banana pulp, which contains 70-80% starch, processed using milling, boiling, drying, and mixing equipment to create functional foods.</t>
  </si>
  <si>
    <t>Production of low-glycemic clinical nutrition foods , Manufacturing of specialized diabetic-friendly meal mixes , Processing of value-added functional green banana flours , Formulation of therapeutic therapeutic-grade food bases</t>
  </si>
  <si>
    <t>raw banana, composite mix, low-glycemic, diabetes management, functional food, starch</t>
  </si>
  <si>
    <t>NIIST-014</t>
  </si>
  <si>
    <t>Raw Banana Peel Powder Production Technology</t>
  </si>
  <si>
    <t>Underutilization of banana peel and the need for fiber-rich functional food ingredients.</t>
  </si>
  <si>
    <t>Processes for the development of raw banana peel powder. The technology processes green banana peel using size reduction devices, milling, boiling, and drying to develop functional food products.</t>
  </si>
  <si>
    <t xml:space="preserve"> Manufacturing of high-fiber baking ingredient supplement , Processing of agro-industrial waste into functional foods , Formulation of dietary fiber-enriched nutraceutical bases , Production of botanical phytochemical extracts for food fortificat</t>
  </si>
  <si>
    <t>raw banana peel, peel powder, functional food, dietary fiber, bioactive phytoconstituents</t>
  </si>
  <si>
    <t>NIIST-015</t>
  </si>
  <si>
    <t>Raw Banana Grits for Porridges Production Technology</t>
  </si>
  <si>
    <t>Processes for the development of dehydrated and powdered raw banana functional breakfast mixes, such as grits for porridges. The technology utilizes green banana pulp, which contains up to 70-80% starch, processed using size reduction devices, milling, boiling, and drying equipment to create functional health foods.</t>
  </si>
  <si>
    <t>• Manufacturing of commercial therapeutic breakfast porridges • Processing of low-glycemic health-mix grits • Production of clean-label instant packaged hot cereals • Value-addition processing loops for commercial banana farming</t>
  </si>
  <si>
    <t>raw banana grits, porridge, functional breakfast, low-glycemic, diabetes management, starch</t>
  </si>
  <si>
    <t>NIIST-016</t>
  </si>
  <si>
    <t>Raw Banana and Cereal-Based Instant Drink Production Technology</t>
  </si>
  <si>
    <t>Processes for the development of raw banana and cereal instant drinks. The technology utilizes green banana pulp, which contains up to 70-80% starch, processed using size reduction devices, milling, boiling, and drying equipment to create functional health foods.</t>
  </si>
  <si>
    <t>Manufacturing of low-glycemic powdered instant beverage mixes, Production of RTD (Ready-to-Drink) therapeutic health drinks, Processing of value-added grain-and-fruit functional beverages ,Formulation of specialized clinical health nutrition powders</t>
  </si>
  <si>
    <t>raw banana, instant drinks, cereal, low-glycemic, diabetes management, starch</t>
  </si>
  <si>
    <t>NIIST-017</t>
  </si>
  <si>
    <t>Natural Fibre Production Bioprocess from Agro Waste</t>
  </si>
  <si>
    <t>Process Technology, Biological Resource, Waste/Resource Recovery System</t>
  </si>
  <si>
    <t>Environmental pollution and long processing times associated with traditional fibre extraction from agro waste.</t>
  </si>
  <si>
    <t>An anaerobic bioprocess for the production of natural fibre from agro waste. The technology utilizes retting tanks in parallel and an anaerobic reactor to extract coir, banana, and pineapple fibres while generating biogas as a value-added by-product in a zero-discharge system.</t>
  </si>
  <si>
    <t xml:space="preserve"> Accelerated processing of natural coir fiber ,Rapid extraction of agricultural banana and pineapple fibers ,Anaerobic generation of industrial and municipal biogas fuel , Treatment and resource recovery of agricultural biomass waste</t>
  </si>
  <si>
    <t>bioprocess, natural fibre, agro waste, anaerobic technology, biogas, coir, retting</t>
  </si>
  <si>
    <t>NIIST-018</t>
  </si>
  <si>
    <t>Fresh Ginger Value Addition and Dry Powder Production Technology</t>
  </si>
  <si>
    <t>Need for removal of adhering mud and enhancement of shelf life for fresh ginger.</t>
  </si>
  <si>
    <t>A continuous or batch-wise process for washing, cleaning, waxing, grading, and drying fresh ginger. The operations involve mechanical dewatering, sorting by size, powdering for smaller ginger, and optional waxing of larger ginger to produce a superior grade market product.</t>
  </si>
  <si>
    <t>Continuous cleaning and post-harvest washing of raw ginger , Industrial processing of premium dry ginger powders , Automated grading and surface waxing of export-grade ginger , Dehydration and mechanical dewatering of root spice crops</t>
  </si>
  <si>
    <t>fresh ginger, dry ginger powder, ginger waxing, mechanical dewatering, shelf life enhancement, grading</t>
  </si>
  <si>
    <t>NIIST-019</t>
  </si>
  <si>
    <t>Spice-Fortified Coconut and Palm Sap Syrup Production Technology</t>
  </si>
  <si>
    <t>Need for functional syrup products that offer digestive benefits and soothe coughs.</t>
  </si>
  <si>
    <t>A process to produce spices fortified syrup by concentrating the sap of coconut or palmyra palm. The sap is fortified with spices and liquid glucose using equipment such as a jacketed kettle, crusher, and centrifuge.</t>
  </si>
  <si>
    <t>Production of specialized health and functional culinary syrups ,Manufacturing of ingredient bases for instant traditional coffees ,Processing of value-added coconut and palmyra palm sap products ,Formulation of natural herbal-fortified sweetening agents</t>
  </si>
  <si>
    <t>fortified syrup, coconut sap, palm sap, palmyra palm, spice fortification, functional syrup</t>
  </si>
  <si>
    <t>NIIST-020</t>
  </si>
  <si>
    <t>Trikatu Syrup Production Technology from Palm Neera</t>
  </si>
  <si>
    <t>Need for palatable delivery methods for the medicinal properties of unfermented palm tree sap and Trikatu.</t>
  </si>
  <si>
    <t>A technology know-how for making Trikatu syrup utilizing Palm Neera (unfermented palm tree sap), dry ginger, pepper, and long pepper. The formulation provides the richness and medicinal properties of Palm Neera in a palatable form.</t>
  </si>
  <si>
    <t>Manufacturing of traditional Ayurvedic medical syrups ,Formulation of clinical respiratory health-support therapeutics , Production of biological bioavailability-enhancing syrup bases , Processing of unfermented palm tree sap into shelf-stable liquid forms</t>
  </si>
  <si>
    <t>Trikatu syrup, Palm Neera, Ayurveda formulation, respiratory treatment, bioavailability enhancer, unfermented palm sap</t>
  </si>
  <si>
    <t>Process Development and Optimization Service for Fruit and Vegetable Value Addition</t>
  </si>
  <si>
    <t>Service, Process Technology</t>
  </si>
  <si>
    <t>Need for scaling up, optimizing drying kinetics, and evaluating shelf stability for processed fruit and vegetable products.</t>
  </si>
  <si>
    <t>Institutional technical services providing process development for dehydration, scale-up optimization of drying kinetics, energy calculation, costing, and shelf-stability evaluation of processed fruit and vegetable products.</t>
  </si>
  <si>
    <t>• Deployment of optimization models for industrial fruit drying kinetics • Engineering scale-up testing for vegetable dehydration plants • Auditing and validation of processed food shelf-stability parameters • Commercial engineering and costing calculations for agro-processors</t>
  </si>
  <si>
    <t>fruit processing, vegetable value addition, drying kinetics, dehydration, shelf stability, jackfruit processing</t>
  </si>
  <si>
    <t>NIIST-022</t>
  </si>
  <si>
    <t>Coconut Residue Dietary Fiber Recovery Technology</t>
  </si>
  <si>
    <t>Process Technology, Waste/Resource Recovery System</t>
  </si>
  <si>
    <t>Need for better utilization of industrial by-products from the virgin coconut oil industry.</t>
  </si>
  <si>
    <t>A process for the recovery of high-value dietary fiber from spent coconut residue, a by-product of the virgin coconut oil industry. The process involves oil removal and pre-treatment operations to produce an enriched dietary fiber and protein product using extraction units and jacketed vessels.</t>
  </si>
  <si>
    <t>• Processing of industrial virgin coconut oil by-products • Manufacturing of high-value dietary fiber supplements • Production of enriched protein food additives • Formulation of functional food ingredients from agricultural waste</t>
  </si>
  <si>
    <t>dietary fiber, coconut residue, virgin coconut oil by-product, waste utilization, protein enrichment</t>
  </si>
  <si>
    <t>NIIST-023</t>
  </si>
  <si>
    <t>Essential Oil Recovery Technology for Spices and Aromatic Plants</t>
  </si>
  <si>
    <t>Process Technology, Device/Equipment</t>
  </si>
  <si>
    <t>Need for economically viable, small-scale multipurpose extraction of essential oils to generate income for farmers.</t>
  </si>
  <si>
    <t>Technology for the recovery of flavour and essential oils from various spices and aromatic plants (like ginger, pepper, cardamom, betel leaf, etc.) using a small scale multipurpose distillation facility.</t>
  </si>
  <si>
    <t>• Manufacturing of spice flavors and oleoresins • Production of essential oils for perfumery • Processing of botanical extracts for medicinal applications • Deployment in small-scale rural multipurpose distillation facilities</t>
  </si>
  <si>
    <t>essential oil, spice extraction, aromatic plants, flavor recovery, multipurpose distillation, perfumery</t>
  </si>
  <si>
    <t>NIIST-024</t>
  </si>
  <si>
    <t>Coconut and Palm Sap Syrup Production Technology</t>
  </si>
  <si>
    <t>Need for a uniform quality, melt-free alternative to conventional palm ghur/jaggery.</t>
  </si>
  <si>
    <t>A process to produce a sweetener syrup by concentrating the sap of coconut or palmyra palm. The syrup retains uniform quality and can be used directly without the melting and filtration steps required for conventional palm ghur.</t>
  </si>
  <si>
    <t>• Production of natural liquid sweeteners for direct consumption • Manufacturing of commercial confectionery ingredients • Processing of traditional instant coffee formulations • Formulation of alternatives to conventional palm ghur and jaggery</t>
  </si>
  <si>
    <t>coconut sap, palm sap, syrup, natural sweetener, palm ghur alternative, palmyra palm</t>
  </si>
  <si>
    <t>NIIST-025</t>
  </si>
  <si>
    <t>Dehydration Technology for Nutmeg and Cardamom Value Addition</t>
  </si>
  <si>
    <t>Quality constraints in global markets due to aflatoxins and essential oil loss during conventional spice drying.</t>
  </si>
  <si>
    <t>A dehydration process and drying unit for spices like nutmeg and cardamom. The unit operates with less energy consumption to produce moisture and aflatoxin-free spices while preventing the oozing out of essential oils.</t>
  </si>
  <si>
    <t>• Post-harvest processing of export-grade spices • Manufacturing of aflatoxin-free dried nutmeg and cardamom • Dehydration of high-value agricultural produce • Deployment in commercial spice drying and export facilities</t>
  </si>
  <si>
    <t>nutmeg drying, cardamom dehydration, aflatoxin-free, spice processing, essential oil retention, energy efficient</t>
  </si>
  <si>
    <t>NIIST-026</t>
  </si>
  <si>
    <t>Dehydrated Unripe Jackfruit Production Technology</t>
  </si>
  <si>
    <t>Limited shelf life and loss of freshness of unripe matured and tender jackfruit.</t>
  </si>
  <si>
    <t>A process for the production of ready-to-cook dehydrated unripe and tender jackfruit. The process utilizes a drier, slicer, and steamer, allowing the product to be vacuum packaged in flexible polyethylene bags without added preservatives.</t>
  </si>
  <si>
    <t>• Manufacturing of ready-to-cook packaged fruit products • Processing of dehydrated base ingredients for commercial curries • Production of preservative-free shelf-stable tropical fruits • Deployment in post-harvest agricultural value-addition facilities</t>
  </si>
  <si>
    <t>unripe jackfruit, dehydrated jackfruit, ready-to-cook, tender jackfruit, vacuum packaging, shelf-stable</t>
  </si>
  <si>
    <t>NIIST-027</t>
  </si>
  <si>
    <t>Honey-Preserved Dehydrated Ripe Jackfruit Technology</t>
  </si>
  <si>
    <t>Degradation of fresh and natural flavors in ripe jackfruit over time.</t>
  </si>
  <si>
    <t>A process where ripe jackfruit is dehydrated to an optimum moisture level and water activity using novel drying methods, and then preserved in honey. The product is packaged in standalone polyethylene bags.</t>
  </si>
  <si>
    <t>• Manufacturing of commercial honey-preserved fruit snacks • Production of premium shelf-stable tropical fruit preserves • Processing of preservative-free natural sweet confections • Formulation of value-added agricultural export products</t>
  </si>
  <si>
    <t>ripe jackfruit, honey preservation, dehydrated fruit, vacuum packaging, water activity, shelf-stable</t>
  </si>
  <si>
    <t>NIIST-028</t>
  </si>
  <si>
    <t>Ready-to-Cook Dehydrated Vegetables Technology</t>
  </si>
  <si>
    <t>High perishability of vegetables leading to material and economic loss.</t>
  </si>
  <si>
    <t>A technology for producing ready-to-cook dehydrated vegetables, such as carrot, raw banana, yam, and snake gourd. The process uses a jacketed kettle with agitation, RADD, and a vacuum packaging machine to extend shelf life.</t>
  </si>
  <si>
    <t>• Manufacturing of instant ready-to-cook vegetable mixes • Production of dehydrated ingredients for commercial soups and meals • Processing of shelf-stable emergency food supplies • Deployment in post-harvest agricultural loss reduction centers</t>
  </si>
  <si>
    <t>dehydrated vegetables, ready-to-cook, shelf life extension, carrot, yam, snake gourd, vacuum packaging</t>
  </si>
  <si>
    <t>NIIST-029</t>
  </si>
  <si>
    <t>Raw Banana-Based Functional Food Products Technology</t>
  </si>
  <si>
    <t>Need for low-glycemic functional foods for diabetes management.</t>
  </si>
  <si>
    <t>Processes for the development of dehydrated and powdered raw banana functional breakfast mixes and health products. The technology processes green banana pulp using size reduction devices, milling, and drying.</t>
  </si>
  <si>
    <t>• Manufacturing of low-glycemic therapeutic breakfast mixes • Production of functional green banana powder ingredients • Processing of clinical nutrition foods for diabetes management • Formulation of digestive health supplements</t>
  </si>
  <si>
    <t>raw banana, functional food, low-glycemic, diabetes management, breakfast mix, green banana pulp, starch</t>
  </si>
  <si>
    <t>NIIST-030</t>
  </si>
  <si>
    <t>Osmo-Dehydrated Dry Fruit Production Technology</t>
  </si>
  <si>
    <t>Seasonal unavailability of fruits and the need to preserve their high quality and eating characteristics year-round.</t>
  </si>
  <si>
    <t>A process combining osmotic dehydration and dehumidified drying to produce high-quality dry fruits. The technology processes raw fruit with sugar syrup using a jacketed kettle, RADD, and vacuum packaging to ensure product availability throughout the year.</t>
  </si>
  <si>
    <t>• Manufacturing of premium shelf-stable fruit snacks • Production of commercial ice cream and confectionery toppings • Processing of year-round fruit preservation bases • Deployment in post-harvest agricultural value-addition units</t>
  </si>
  <si>
    <t>osmo-dehydrated, dry fruits, osmotic dehydration, dehumidified drying, fruit preservation, snack, confectionery</t>
  </si>
  <si>
    <t>Ready-to-Cook Dehydrated Leafy Vegetables Technology</t>
  </si>
  <si>
    <t>High perishability of leafy vegetables leading to material waste and economic loss.</t>
  </si>
  <si>
    <t>A process for producing ready-to-cook dehydrated leafy vegetables such as amaranth, spinach, coriander, fenugreek, and mint. The technology extends the shelf life of highly perishable greens using a jacketed kettle with agitation, RADD, and vacuum packaging.</t>
  </si>
  <si>
    <t>• Manufacturing of instant ready-to-cook vegetable ingredients • Production of commercial dried herbs and seasonings • Processing of shelf-stable emergency food supplies • Formulation of dehydrated ingredients for packaged food products</t>
  </si>
  <si>
    <t>dehydrated leafy vegetables, ready-to-cook, shelf life extension, amaranth, spinach, fenugreek, coriander, mint</t>
  </si>
  <si>
    <t>NIIST-031</t>
  </si>
  <si>
    <t>Health Management Spice Seasoning Mix Formulation</t>
  </si>
  <si>
    <t>Material/Formulation, Process Technology</t>
  </si>
  <si>
    <t>Need for preventive health management products addressing antidiabetic and cardiovascular issues through daily diet.</t>
  </si>
  <si>
    <t>A seasoning mix formulated by blending various herbs, spices, and medicinal plants in unique proportions based on their evaluated antioxidant, antidiabetic, and cardiovascular protection properties. The manufacturing utilizes equipment like sorters, slicers, hammer mills, and blenders.</t>
  </si>
  <si>
    <t>• Manufacturing of therapeutic and functional culinary seasonings • Production of health-oriented salad dressings and soup bases • Formulation of functional toppings for commercial snacks like popcorn • Processing of preventive health ingredients for ready-to-eat foods</t>
  </si>
  <si>
    <t>seasoning mix, preventive health, antidiabetic, cardiovascular protection, herbs, spices, antioxidant</t>
  </si>
  <si>
    <t>NIIST-032</t>
  </si>
  <si>
    <t>Microencapsulated Functional Beverage Technology</t>
  </si>
  <si>
    <t>Need for accessible functional health drinks with antidiabetic and cardiovascular protection properties.</t>
  </si>
  <si>
    <t>A process for creating functional beverages by microencapsulating tropical fruit juices, such as jamun and pomegranate, with extracts of herbs, spices, and medicinal plants. The formulation is blended in unique proportions to encapsulate active ingredients using stirred tank vessels and spray driers.</t>
  </si>
  <si>
    <t>• Manufacturing of ready-to-constitute therapeutic health drinks • Production of microencapsulated functional beverage powders • Formulation of specialized clinical nutrition juices • Processing of bioactive-rich plant ingredients for the beverage industry</t>
  </si>
  <si>
    <t>functional beverage, microencapsulation, tropical fruit juice, jamun, pomegranate, antidiabetic, cardiovascular</t>
  </si>
  <si>
    <t>NIIST-033</t>
  </si>
  <si>
    <t>Spice-Based Green Tea Bag Dips Technology</t>
  </si>
  <si>
    <t>Need for functional tea beverages with antidiabetic health benefits.</t>
  </si>
  <si>
    <t>Processes for producing green tea and spice bag dips blended with herbs, spices, and medicinal plants. The formulation encapsulates active ingredients evaluated for antidiabetic properties, processed using milling, drying, and packing equipment.</t>
  </si>
  <si>
    <t>• Manufacturing of functional antidiabetic tea blends • Production of microencapsulated herbal tea bags • Processing of therapeutic botanical beverages • Formulation of clinical health and wellness drinks</t>
  </si>
  <si>
    <t>green tea, spice dips, tea bag, antidiabetic, medicinal plants, functional beverage</t>
  </si>
  <si>
    <t>NIIST-034</t>
  </si>
  <si>
    <t>Endophytic Bacterial Formulation for Plant Tonic</t>
  </si>
  <si>
    <t>Biological Resource, Process Technology</t>
  </si>
  <si>
    <t>Soil fertility deterioration and undesirable agricultural changes caused by excessive use of synthetic compounds.</t>
  </si>
  <si>
    <t>A plant tonic formulation comprising a consortium of three endophytic microbial strains isolated from rice plants in the Kuttanad region. The endophytes reside inside the plant, offering an eco-friendly alternative to synthetic agricultural chemicals.</t>
  </si>
  <si>
    <t>• Manufacturing of commercial biological crop tonics • Production of eco-friendly microbial biofertilizers • Formulation of biological disease management sprays • Cultivation and farming using green agriculture practices</t>
  </si>
  <si>
    <t>endophytic bacteria, plant tonic, biofertilizer, disease management, soil fertility, Kuttanad, microbial flora</t>
  </si>
  <si>
    <t>NIIST-035</t>
  </si>
  <si>
    <t>Millet-Based Ready-to-Eat (RTE) Porridge Technology</t>
  </si>
  <si>
    <t>Need for instantly available, nutritionally balanced, and palatable foods made from traditional millets.</t>
  </si>
  <si>
    <t>A process to convert millet grits (pearl, little, barnyard, kodo, foxtail) and arrowroot powder into a Ready-to-Eat (RTE) porridge. The technology utilizes pressure steaming, drying, and optimized formulation to deliver a nutrient-rich and palatable food product.</t>
  </si>
  <si>
    <t>• Manufacturing of instant ready-to-eat millet breakfast cereals • Production of commercially packaged therapeutic porridges • Processing of balanced nutritional mixes for health programs • Formulation of instant dry food bases reconstitutable with milk or water</t>
  </si>
  <si>
    <t>millet porridge, RTE food, ready-to-eat, pressure steaming, nutrient-rich, traditional grains</t>
  </si>
  <si>
    <t>NIIST-036</t>
  </si>
  <si>
    <t>Dehydrated Coconut Gravy Technology</t>
  </si>
  <si>
    <t>Time-consuming preparation of traditional Indian dishes and the need to retain fresh flavors in instant foods.</t>
  </si>
  <si>
    <t>A technology to produce ready-to-constitute dehydrated coconut gravy mixed with spices such as chili, turmeric, mango, cumin, and jeera. The process uses a developed drying technology, RADD, and size reduction devices to create instant culinary bases.</t>
  </si>
  <si>
    <t>• Manufacturing of instant ready-to-cook traditional gravy mixes • Production of shelf-stable commercial culinary pastes and bases • Processing of dehydrated coconut and spice culinary products • Formulation of quick-prep institutional catering ingredients</t>
  </si>
  <si>
    <t>dehydrated coconut gravy, instant gravy, traditional dish, ready-to-constitute, spice mix, drying technology</t>
  </si>
  <si>
    <t>Organic Potting Filler Formulation (COCONURTURE)</t>
  </si>
  <si>
    <t>National Coir Research &amp; Management Institute (NCRMI)</t>
  </si>
  <si>
    <t>Material/Formulation, Biological Resource</t>
  </si>
  <si>
    <t>Addresses poor aeration, water retention issues, and soil-borne diseases in plant cultivation and nursery environments.</t>
  </si>
  <si>
    <t>COCONURTURE is an organic potting filler formulated by blending crushed tender coconut husks, coir pith compost, farmyard manure, Trichoderma, and soil in precise proportions. The formulation was developed based on field trials conducted by the National Coir Research and Management Institute (NCRMI).</t>
  </si>
  <si>
    <t>• Manufacturing of commercial organic potting mixes • Production of bio-enriched nursery growing media • Deployment in commercial greenhouse and horticulture cultivation • Formulation of soil-less agricultural substrates • Processing of coir industry by-products into agricultural inputs</t>
  </si>
  <si>
    <t>ncrmikerala@gmail.com</t>
  </si>
  <si>
    <t>booklet_pdf_NCRMI</t>
  </si>
  <si>
    <t>COCONURTURE, organic potting filler, tender coconut husks, coir pith compost, Trichoderma, nursery media</t>
  </si>
  <si>
    <t>Coir Pith Carbon Bio-Briquette (PEATKOL Dots) Technology</t>
  </si>
  <si>
    <t>Material/Formulation, Consumer Product</t>
  </si>
  <si>
    <t>Environmental pollution from traditional coal and charcoal, and the need for sustainable utilization of coir pith biomass.</t>
  </si>
  <si>
    <t>A process for producing lightweight carbon bio-briquettes, named PEATKOL Dots, by strongly heating coirpith with limited air. The formulation utilizes the lignin in coirpith, which carbonizes to provide strength to the briquettes, creating an alternative fuel resource.</t>
  </si>
  <si>
    <t>• Manufacturing of eco-friendly commercial grilling and barbecue fuels • Production of natural incense and dhoop burning bases • Processing of agricultural coir pith waste into renewable energy briquettes • Deployment in commercial indoor and outdoor heating applications</t>
  </si>
  <si>
    <t>PEATKOL dots, bio-briquettes, coir pith, charcoal alternative, renewable fuel, grilling, incense</t>
  </si>
  <si>
    <t>NCRMI-003</t>
  </si>
  <si>
    <t>éCoir Bag (Treated Coir Grow Bag) Technology</t>
  </si>
  <si>
    <t>Consumer Product, Material/Formulation</t>
  </si>
  <si>
    <t>Plastic grow bags restrict root growth, cause root circling, and create environmental pollution due to non-biodegradability.</t>
  </si>
  <si>
    <t>éCoir BAG is an eco-friendly, breathable grow bag developed jointly by NCRMI and FOMIL as an alternative to plastic grow bags. Made from specially treated coir without using rubber latex, the bags facilitate "air pruning" of roots, prevent root circling, and provide insulation. They measure 27 cm x 27 cm.</t>
  </si>
  <si>
    <t>• Manufacturing of eco-friendly agricultural grow bags • Production of biodegradable nursery and greenhouse planters • Deployment in urban terrace and indoor gardening • Processing of treated coir fiber into sustainable horticultural products</t>
  </si>
  <si>
    <t>éCoir bag, treated coir, grow bag, air pruning, eco-friendly planter, root growth, biodegradable</t>
  </si>
  <si>
    <t>CPCRI-016</t>
  </si>
  <si>
    <t>Kalpa Vermiwash Liquid Organic Fertilizer Technology</t>
  </si>
  <si>
    <t>Material/Formulation, Waste/Resource Recovery System</t>
  </si>
  <si>
    <t>Need for liquid organic fertilizers suitable for field and horticultural crops.</t>
  </si>
  <si>
    <t>Kalpa Vermiwash is a liquid organic fertilizer extracted from the active vermicomposting of coconut leaves. The liquid fertilizer is designed to be diluted and applied to field and horticultural crops, particularly vegetables.</t>
  </si>
  <si>
    <t>Manufacturing of liquid organic fertilizers, Production of agricultural bio-stimulants, Commercial vegetable cultivation inputs</t>
  </si>
  <si>
    <t>Screenshot 2026-06-24 123001.jpg</t>
  </si>
  <si>
    <t>Kalpa Vermiwash, liquid organic fertilizer, vermicomposting, coconut leaves</t>
  </si>
  <si>
    <t>CPCRI-017</t>
  </si>
  <si>
    <t>Coconut Embryo Culture Protocol</t>
  </si>
  <si>
    <t>Need for safe germplasm exchange and propagation of special types of coconut.</t>
  </si>
  <si>
    <t>The ICAR-CPCRI embryo culture protocol permits safe germplasm exchange. It helps in the propagation of special types of coconut, specifically soft and sweet endosperm types.</t>
  </si>
  <si>
    <t>Commercial agricultural propagation facilities, Production of specialized coconut varieties, Deployment in plant tissue culture laboratories</t>
  </si>
  <si>
    <t>embryo culture, germplasm exchange, coconut propagation, endosperm</t>
  </si>
  <si>
    <t>CPCRI-018</t>
  </si>
  <si>
    <t>Coconut Pollen Cryopreservation Protocol</t>
  </si>
  <si>
    <t>Need to retrieve and utilize pollen from high yielding palms for breeding programmes.</t>
  </si>
  <si>
    <t>A simple and user-friendly protocol developed at ICAR-CPCRI for the cryopreservation of coconut pollen. Pollen collected from desiccated male flowers of high yielding palms can be retrieved and utilized in breeding programmes as and when required.</t>
  </si>
  <si>
    <t>Commercial agricultural breeding programs, Operation of plant genetic resource banks, Deployment in crop improvement facilities</t>
  </si>
  <si>
    <t>pollen cryopreservation, high yielding palms, breeding programmes, desiccated male flowers</t>
  </si>
  <si>
    <t>CPCRI-019</t>
  </si>
  <si>
    <t>Coconut Immature Inflorescence Tissue Culture Protocol</t>
  </si>
  <si>
    <t>Need to produce uniform clones of elite coconut palms.</t>
  </si>
  <si>
    <t>The immature inflorescence tissue culture protocol is designed to produce uniform clones of elite palms.</t>
  </si>
  <si>
    <t>Mass multiplication of elite agricultural crops, Commercial operation of plant tissue culture labs, Production of uniform planting materials</t>
  </si>
  <si>
    <t>tissue culture, immature inflorescence, uniform clones, elite palms</t>
  </si>
  <si>
    <t>CPCRI-020</t>
  </si>
  <si>
    <t>Arecanut Immature Inflorescence Tissue Culture Protocol</t>
  </si>
  <si>
    <t>Need for mass multiplication of dwarf areca hybrids and YLD disease resistant palms.</t>
  </si>
  <si>
    <t>This protocol enables the mass multiplication of dwarf areca hybrids and YLD disease resistant palms.</t>
  </si>
  <si>
    <t>Commercial mass multiplication of arecanut hybrids, Production of disease-resistant agricultural planting materials</t>
  </si>
  <si>
    <t>tissue culture, arecanut, mass multiplication, dwarf areca hybrids, YLD disease resistant</t>
  </si>
  <si>
    <t>CPCRI-021</t>
  </si>
  <si>
    <t>Molecular-Marker Based Coconut Hybrid Confirmation Technology</t>
  </si>
  <si>
    <t>Diagnostic Kit/Assay, Process Technology</t>
  </si>
  <si>
    <t>Need to confirm the hybrid nature of seedlings in the nursery itself to ensure supply of genuine hybrids to farmers.</t>
  </si>
  <si>
    <t>Microsatellite markers developed at ICAR-CPCRI assist in screening the progenies from the crosses of parental palms to confirm their hybrid nature in the nursery itself. The use of these markers will ensure the supply of genuine hybrid seedlings to farmers.</t>
  </si>
  <si>
    <t>Commercial agricultural diagnostic screening, Quality control in plant nurseries, Manufacturing of agricultural genetic testing kits</t>
  </si>
  <si>
    <t>molecular-marker, microsatellite markers, coconut hybrids, seedling screening</t>
  </si>
  <si>
    <t>CPCRI-022</t>
  </si>
  <si>
    <t>Kalpa EPN (CPCRI - SC1) Aqua Formulation Technology</t>
  </si>
  <si>
    <t>This protocol enables mass multiplication of dwarf areca hybrids and YLD disease resistant palms.</t>
  </si>
  <si>
    <t>Commercial mass multiplication of agricultural hybrids, Production of disease-resistant planting materials</t>
  </si>
  <si>
    <t>Kalpa EPN, aqua formulation, mass multiplication, areca hybrids</t>
  </si>
  <si>
    <t>CPCRI-023</t>
  </si>
  <si>
    <t>Trichoderma harzianum (CPTD28) Coir Pith Cake Technology</t>
  </si>
  <si>
    <t>Need for prophylactic treatment against bud rot and management of stem canker and soil-borne diseases.</t>
  </si>
  <si>
    <t>A simple and low-cost technology for producing Trichoderma coir pith cakes with a shelf life of one year. The formulation is very easy to handle and apply in the crowns of coconut palms as a prophylactic treatment against bud rot, in the management of stem canker of cocoa, and also for the management of soil-borne diseases in potted plants.</t>
  </si>
  <si>
    <t>Manufacturing of organic agricultural biocontrol agents, Production of prophylactic treatments for plantation crops, Commercial nursery disease management</t>
  </si>
  <si>
    <t>Trichoderma harzianum, coir pith cake, bio-control, bud rot, stem canker, soil-borne diseases</t>
  </si>
  <si>
    <t>CPCRI-024</t>
  </si>
  <si>
    <t>Trichoderma harzianum Mass Production on Areca Leaf Sheath</t>
  </si>
  <si>
    <t>Need for rapid mass production of Trichoderma for eco-friendly disease management.</t>
  </si>
  <si>
    <t>A very simple, cost-effective technology for the rapid mass production of Trichoderma harzianum (CPTD 28) utilizing areca leaf sheath. The Trichoderma enriched areca leaf sheath can be effectively utilized for the eco-friendly management of stem bleeding and basal stem rot diseases of coconut and also for quick wilt disease of black pepper.</t>
  </si>
  <si>
    <t>Industrial-scale manufacturing of agricultural biopesticides, Production of eco-friendly disease management inputs, Deployment in plantation crop protection programs</t>
  </si>
  <si>
    <t>Trichoderma harzianum, mass production, areca leaf sheath, stem bleeding, basal stem rot, quick wilt</t>
  </si>
  <si>
    <t xml:space="preserve">MBGIPS-01 </t>
  </si>
  <si>
    <t>Cryopreservation Protocol for Pollen and Spores</t>
  </si>
  <si>
    <t>KSCSTE- Malabar Botanical Garden &amp; Institute for Plant Sciences (MBGIPS)</t>
  </si>
  <si>
    <t>Process/Method (Research Study or Evaluation)</t>
  </si>
  <si>
    <t>Securing the long-term viability, genetic stability, and sustainable sourcing of high-value plant species.</t>
  </si>
  <si>
    <t>A cryopreservation protocol developed to secure the long-term viability of pollen and spores from high-value plant species, ensuring genetic stability and successful post-thaw recovery. The protocol covers medicinal, ornamental, and ecologically important plants, including ferns (e.g., Asplenium nidus), angiosperms (e.g., Clitoria ternatea), Nymphaea, Crinum, Costus, and orchid varieties. It supports the sustainable sourcing of elite planting materials, providing consistent inputs for the herbal, pharmaceutical, and floriculture sectors.</t>
  </si>
  <si>
    <t>• Sustainable sourcing of elite planting material for pharmaceutical and herbal sectors
• Consistent, high-quality inputs for the wellness and antioxidant-rich food industries
• Supply of cryo-banked ornamental plants (Nymphaea, orchids, ferns) for the floriculture market
• Long-term biodiversity conservation and genetic banking of high-value plant species</t>
  </si>
  <si>
    <t>Dr. Manjula K M &amp; Dr. N S Pradeep</t>
  </si>
  <si>
    <t>manjulakmmbgips@gmail.com</t>
  </si>
  <si>
    <t>KSCSTE_Booklet_2025.pdf (assumed based on prior context)</t>
  </si>
  <si>
    <t>cryopreservation, pollen, spores, germplasm, biodiversity conservation, medicinal plants, floriculture</t>
  </si>
  <si>
    <t xml:space="preserve">KFRI-01 </t>
  </si>
  <si>
    <t>Bark Stripping Equipment for Jiggat-Yielding Plants</t>
  </si>
  <si>
    <t>KSCSTE- Kerala Forest Research Institute (KFRI)</t>
  </si>
  <si>
    <t>Traditional manual Jiggat bark harvesting using chisels damages the tree's vascular cambium, causing wilting and eventual death.</t>
  </si>
  <si>
    <t>A compact bark stripping tool developed to harvest Jiggat—a natural binding agent used in agarbatti (incense stick) production. Conventional manual extraction using chisels damages the tree's vascular cambium, leading to wilting and death. This device enables precise, controlled bark removal while keeping the inner regenerative tissues intact. It reduces physical strain on workers, improves consistency in bark yield, and promotes natural tree regeneration, offering a sustainable alternative for community and commercial non-timber forest product harvesting.</t>
  </si>
  <si>
    <t>• Sustainable harvesting of Jiggat bark for the agarbatti (incense stick) manufacturing industry
• Deployment by tribal and rural communities for non-timber forest product extraction
• Adoption by forestry departments for conservation-friendly resource management
• Commercial scaling of natural binding agent production</t>
  </si>
  <si>
    <t>Patented</t>
  </si>
  <si>
    <t>Dr. Sreekumar V B</t>
  </si>
  <si>
    <t>sreekumar@kfri.res.in</t>
  </si>
  <si>
    <t>KSCSTE_Booklet_2025.pdf</t>
  </si>
  <si>
    <t>Jiggat, bark harvesting, agarbatti, incense sticks, non-timber forest product, vascular cambium</t>
  </si>
  <si>
    <t xml:space="preserve">MBGIPS-02 </t>
  </si>
  <si>
    <t>Aqua Flora-Infuse: Caffeine-Free Herbal Beverage</t>
  </si>
  <si>
    <t>Addresses the consumer demand for clean-label, caffeine-free functional beverages with natural botanical and wellness properties.</t>
  </si>
  <si>
    <t>Aqua Flora-Infuse is a caffeine-free herbal drink formulation crafted from a curated mix of medicinal plants, primarily Nelumbo nucifera (lotus) and Clitoria ternatea. Developed using a gentle drying technique, the process preserves essential photoactives and floral aromas without synthetic additives. Lotus aids in relaxation and detoxification, while Clitoria ternatea provides natural color, rich anthocyanin content, and supports cognitive function. Packaged in ready-to-use tea bags, the formulation targets the clean-label, functional beverage market by combining traditional botanical ingredients with eco-friendly processing.</t>
  </si>
  <si>
    <t>• Commercial production of clean-label, functional herbal beverages
• Adoption by nutraceutical brands for wellness product lines
• Integration into Ayurveda-based product portfolios
• Retail distribution through premium wellness stores and export markets</t>
  </si>
  <si>
    <t>Dr. Manjula K M &amp; Dr. Hareesh V S</t>
  </si>
  <si>
    <t>herbal drink, caffeine-free, Nelumbo nucifera, Clitoria ternatea, functional beverage, clean-label</t>
  </si>
  <si>
    <t xml:space="preserve">KFRI-02 </t>
  </si>
  <si>
    <t>LAMP Diagnostic Kit for Sandalwood Spike Disease: Field-Deployable Diagnostic Tool</t>
  </si>
  <si>
    <t>Diagnostic Kit/Assay</t>
  </si>
  <si>
    <t>Existing Sandalwood Spike Disease detection methods are lab-dependent, time-consuming, and unsuitable for rapid, large-scale field screening.</t>
  </si>
  <si>
    <t>Sandalwood Spike Disease (SSD), caused by phytoplasma, is a severe threat to Indian sandalwood, leading to tree death within 1-2 years. Traditional detection methods like PCR are lab-dependent and unsuitable for large-scale screening. This innovation is a field-deployable LAMP-based diagnostic kit that is 100x more sensitive than PCR for rapid SSD detection. It enables early identification in symptomatic and asymptomatic trees, insect vectors, and reservoir hosts, supporting epidemiological mapping and integrated pest management strategies.</t>
  </si>
  <si>
    <t>• Rapid, field-level screening of sandalwood trees by forest departments and plantation managers
• Epidemiological mapping and identification of disease transmission agents
• Integration into integrated pest management strategies for commercial sandalwood cultivation
• Early pathogen detection deployment in agricultural diagnostic laboratories</t>
  </si>
  <si>
    <t>Dr. Donald James</t>
  </si>
  <si>
    <t>donald@kfri.res.in</t>
  </si>
  <si>
    <t>Sandalwood Spike Disease, SSD, LAMP diagnostic kit, phytoplasma, Santalum album, field screening</t>
  </si>
  <si>
    <t xml:space="preserve">CWRDM-01 </t>
  </si>
  <si>
    <t>Decision Support System for Soil Erosion: Web-Based Digital Tool</t>
  </si>
  <si>
    <t>KSCSTE- Centre for Water Resources Development and Management (CWRDM)</t>
  </si>
  <si>
    <t>Software/Digital Platform, Database/GIS System, Decision-Support/Analytical Tool</t>
  </si>
  <si>
    <t>Widespread challenge of soil erosion in hilly, high-rainfall regions requiring localized, science-backed mitigation planning.</t>
  </si>
  <si>
    <t>The Decision Support System (DSS) for Soil Erosion is a freely accessible, web-based digital tool tailored for hilly, high-rainfall regions. It transforms complex geospatial data—integrating specific data on rainfall, land use, and topography—into accessible maps. Users can zoom into specific Panchayats to view erosion risk levels and receive customized mitigation suggestions, such as vegetative cover, contour bunds, or drainage structures. The tool requires no login or specialized software, supporting grassroots planning, watershed development, and programs like MGNREGS.</t>
  </si>
  <si>
    <t>• Grassroots-level planning for soil and water conservation by government bodies and Panchayats
• Integration into official watershed development and MGNREGS programs
• Environmental governance and land-use planning by NGOs and researchers
• Deployment as a scalable geospatial model for other high-rainfall or hilly topographies</t>
  </si>
  <si>
    <t>Dr. Surendran U</t>
  </si>
  <si>
    <t>suren@cwrdm.org</t>
  </si>
  <si>
    <t>soil erosion, Decision Support System, DSS, geospatial data, watershed development, MGNREGS, topographic mapping</t>
  </si>
  <si>
    <t xml:space="preserve">JNTBGRI-01 </t>
  </si>
  <si>
    <t>Plant Tissue Culture Protocols for High-Value Crops: Disease-Free Mass Propagation Method</t>
  </si>
  <si>
    <t>KSCSTE- Jawaharlal Nehru Tropical Botanic Garden &amp; Research Institute (JNTBGRI)</t>
  </si>
  <si>
    <t>Absence of standardized mass propagation protocols and clean planting stock for emerging, rare, and high-value plant species.</t>
  </si>
  <si>
    <t>Jawaharlal Nehru Tropical Botanic Garden &amp; Research Institute (JNTBGRI) has developed standardized plant tissue culture protocols for the mass propagation of high-value crops, including banana, orchids, anthuriums, and medicinal plants. This technology delivers high-quality, disease-free, and true-to-type planting material. It addresses the global demand for clean planting stock by providing a scalable and sustainable method for the mass propagation of rare, high-value, and endangered species. The protocols are designed to support the pharmaceuticals, cosmetics, herbal wellness, horticulture, and biodiversity conservation sectors.</t>
  </si>
  <si>
    <t>• Mass propagation of disease-free planting material for the horticulture and agriculture sectors
• Cultivation of standardized medicinal plants for pharmaceuticals, cosmetics, and herbal wellness industries
• Biodiversity conservation and reforestation through the mass propagation of rare and endangered species
• Commercial nursery operations and rural entrepreneurship via scalable tissue culture deployment</t>
  </si>
  <si>
    <t>Dr. Sreekumar S</t>
  </si>
  <si>
    <t>sreekumartbgri@gmail.com</t>
  </si>
  <si>
    <t>plant tissue culture, high-value crops, mass propagation, disease-free planting material, banana, orchids, anthuriums, medicinal plants</t>
  </si>
  <si>
    <t xml:space="preserve">MBGIPS-03 </t>
  </si>
  <si>
    <t>Endemic Species Conservation with Ecological Niche Modelling (ENM): Habitat Suitability Mapping Tool</t>
  </si>
  <si>
    <t>Analytical Model / Methodology</t>
  </si>
  <si>
    <t>Identifying suitable habitats for the translocation of endemic plant species that have narrow distributions and poor natural dispersal mechanisms.</t>
  </si>
  <si>
    <t>This study applies a Maxent-based Ecological Niche Modelling (ENM) framework to map habitat suitability for Crinum malabaricum, an endangered plant endemic to the Malabar Plains of the Western Ghats. By evaluating 21 bioclimatic and topographic variables, the model identifies key environmental predictors—specifically precipitation and mean temperature of the driest quarter. It successfully mapped 2,393 km² of highly suitable habitat (suitability index ≥ 0.85), which is significantly larger than the species' current extent of occurrence (283 km²), guiding the field selection of ten optimal translocation sites.</t>
  </si>
  <si>
    <t>• Guiding target translocations and ecological restoration initiatives for forest departments and environmental conservation bodies
• Predictive habitat mapping and vulnerability analysis for endangered or narrowly distributed flora and fauna
• Integration into regional biodiversity action plans and environmental impact assessments (EIAs)
• Establishing scalable baseline modeling frameworks for climate change adaptation studies in fragile ecosystems</t>
  </si>
  <si>
    <t>Dr. N S Pradeep</t>
  </si>
  <si>
    <t>drnspradeep@gmail.com</t>
  </si>
  <si>
    <t>Ecological Niche Modelling, ENM, Maxent, Crinum malabaricum, species translocation, habitat suitability, Western Ghats</t>
  </si>
  <si>
    <t xml:space="preserve">CWRDM-02 </t>
  </si>
  <si>
    <t>Anoxic-Oxic Sequential Batch Biofilm Reactor: Wastewater Treatment System</t>
  </si>
  <si>
    <t>Device/Equipment, Process/Method (Research Study or Evaluation)</t>
  </si>
  <si>
    <t>Conventional Sequencing Batch Reactors (SBRs) for treating high-strength slaughterhouse wastewater suffer from high sludge production and poor settling (high sludge volume index).</t>
  </si>
  <si>
    <t>This innovation is an Anoxic-Oxic Sequential Batch Biofilm Reactor (SBBR) that incorporates inert carrier materials into a conventional SBR system to support biofilm growth. This design combines suspended and attached growth systems to simultaneous remove carbonaceous organic matter and nutrients from high-strength slaughterhouse wastewater. Operating under phased oxygen conditions (aerobic/anoxic react combinations), the system optimizes microbial biomass accumulation and accelerates organic matter decomposition without excessive sludge production.</t>
  </si>
  <si>
    <t>• Treatment of high-BOD and nutrient-rich wastewater from commercial slaughterhouses and meat processing units
• Upgrading existing municipal or industrial wastewater treatment plants to biofilm-based systems
• Decentralized sanitation and effluent treatment in resource-limited or space-constrained settings
• Effluent compliance management for food and beverage industry processing facilities</t>
  </si>
  <si>
    <t>Dr. Chithra V S</t>
  </si>
  <si>
    <t>chithravs@cwrdm.org</t>
  </si>
  <si>
    <t>Sequencing Batch Biofilm Reactor, SBBR, slaughterhouse wastewater, biofilm technology, denitrification, COD removal, wastewater treatment</t>
  </si>
  <si>
    <t xml:space="preserve">CWRDM-03 </t>
  </si>
  <si>
    <t>Smart Rainwater Sampling System: Automated Time-Integrated Sampler</t>
  </si>
  <si>
    <t>Traditional rainwater sampling relies on daily or monthly composites, failing to capture short-term variations and risking cross-contamination between intervals.</t>
  </si>
  <si>
    <t>An automated, low-cost rainwater sampling system designed to capture the high-resolution spatial and temporal variability of rainfall. The system collects rainwater through a funnel and automatically pumps it into separate sample bottles at user-defined intervals (e.g., hourly). Constructed from inert materials to eliminate chemical contamination, the lightweight and weatherproof device features automatic shut-off when rainfall ceases, optimized energy efficiency for field applications, and remote monitoring compatibility.</t>
  </si>
  <si>
    <t>• High-resolution sequential data gathering for detailed hydrological modeling and climate studies
• Real-time monitoring of environmental pollution dynamics and acid rain trends by research agencies
• Scalable deployment in remote networks with limited existing infrastructure by environmental bodies
• Integration into agricultural planning systems requiring precise local precipitation records</t>
  </si>
  <si>
    <t>Dr. U Surendran, Dr. Resmi T R &amp; Dr. Naveena K</t>
  </si>
  <si>
    <t>rainwater sampler, automated sampling, hydrology, water resources, climate impacts, environmental monitoring</t>
  </si>
  <si>
    <t xml:space="preserve">KFRI-03 </t>
  </si>
  <si>
    <t>Biochar from Bamboo Waste: Sustainable Carbon Sequestration Solution</t>
  </si>
  <si>
    <t>Material/Formulation, Process/Method (Research Study or Evaluation)</t>
  </si>
  <si>
    <t>Accumulation of unmanaged bamboo biomass waste alongside degraded soil health and the critical need for scalable carbon capture methods.</t>
  </si>
  <si>
    <t>A sustainable production framework established at KFRI's Field Research Centre in Palappilly that converts bamboo waste into biochar. This stable, carbon-rich material is created through the pyrolysis of biomass under oxygen-limited conditions. The resulting porous substance enhances soil structure, boosts microbial dynamics, and acts as a long-term terrestrial carbon sink that safely locks away carbon for hundreds to thousands of years.</t>
  </si>
  <si>
    <t>• Commercial production of organic soil amendments and soil fertility boosters
• Integration into waste-to-resource programs for agricultural or forestry residues
• Generation of high-permanence carbon removal credits for compliance and voluntary markets
• Implementation in large-scale land restoration and degraded site remediation projects</t>
  </si>
  <si>
    <t>Dr. S Sandeep &amp; Dr. Badole Shrikant Purushottam</t>
  </si>
  <si>
    <t>shrikantbadole@kfri.res.in</t>
  </si>
  <si>
    <t>biochar, bamboo waste, pyrolysis, carbon sink, soil health, waste-to-resource</t>
  </si>
  <si>
    <t xml:space="preserve">KFRI-04 </t>
  </si>
  <si>
    <t>Coir Fibre Root Trainers: Biodegradable Plant Nursery Container</t>
  </si>
  <si>
    <t>Huge consumption of single-use plastic containers in forest nurseries causes massive plastic pollution, alongside issues like root coiling and transplant shock in traditional bags.</t>
  </si>
  <si>
    <t>India's first Coir Fibre-Based Root Trainers (CRT) are developed from latex-sprayed coir mattress material as a fully biodegradable, eco-friendly alternative to plastic bags. Designed with four internal ridges and a 20mm drainage hole, these 150 cc containers promote healthy root architecture and prevent harmful root coiling. The units can be planted directly into the earth alongside the seedling, decomposing naturally over time.</t>
  </si>
  <si>
    <t>• Mass adoption by state forest departments and municipal nurseries to meet plastic bans
• Commercial manufacturing by coir cooperatives and rural self-help groups
• Retail distribution in commercial horticulture, landscaping, and consumer home-gardening sectors
• Export market positioning as premium eco-friendly agricultural planting materials</t>
  </si>
  <si>
    <t>Dr. Sujanapal P &amp; Mr. S Sheik Hyder Hussain, IFS (Rtd)</t>
  </si>
  <si>
    <t>sujanapalp@gmail.com</t>
  </si>
  <si>
    <t>Coir Fibre Root Trainers, CRT, biodegradable nursery, plastic alternative, root coiling, coconut husk, forestry</t>
  </si>
  <si>
    <t xml:space="preserve">KFRI-05 </t>
  </si>
  <si>
    <t>Killimangalam Kora Grass Mats: Traditional Woven Craft</t>
  </si>
  <si>
    <t>Consumer Product</t>
  </si>
  <si>
    <t>Protecting traditional knowledge and boosting market visibility for an eco-friendly artisan craft through Geographical Indication.</t>
  </si>
  <si>
    <t>Killimangalam Kora Grass Mats are a traditional craft woven using fine-count kora grass (Cyperus spp.) in the Thrissur and Palakkad districts. Traditionally practiced by the Kurava community, the craft involves the intricate weaving of coarse and fine mats using high-twist warp threads. Designs are culturally inspired, featuring palm leaves, elephants, and traditional attire. Recognized for their aesthetic value and eco-friendliness, the mats earned the UNESCO Seal of Excellence in 2004. KFRI has initiated the process to secure a Geographical Indication (GI) tag to protect this heritage and support weavers.</t>
  </si>
  <si>
    <t>• Commercial retail of eco-friendly sleeping mats, yoga mats, carpets, and wall hangings
• Cultural tourism and export of premium traditional Indian handicrafts
• Empowerment and income generation for the rural Kurava artisan community
• Geographical Indication (GI) branding for authentic textile and home decor markets</t>
  </si>
  <si>
    <t>Dr. A. V. Raghu</t>
  </si>
  <si>
    <t>avraghu@kfri.res.in</t>
  </si>
  <si>
    <t>Killimangalam, Kora Grass Mats, Cyperus spp., weaving, Geographical Indication, GI tag, UNESCO, handicrafts</t>
  </si>
  <si>
    <t xml:space="preserve">KFRI-06 </t>
  </si>
  <si>
    <t>Organo Clay from Waste Mica: Sustainable Pollution Control Material</t>
  </si>
  <si>
    <t>Material/Formulation</t>
  </si>
  <si>
    <t>Rising environmental contamination from heavy metals, dyes, and organic pollutants requires low-cost, eco-friendly remediation technologies.</t>
  </si>
  <si>
    <t>Organo clay synthesized from waste mica and humic acid offers a sustainable solution for environmental pollution control. By functionalizing raw industrial mica waste with humic acid, the material's sorptive properties are significantly enhanced, enabling efficient removal of heavy metals, dyes, and organic pollutants. The mild, cost-effective synthesis process avoids hazardous chemicals. The resulting composite exhibits strong chelation and ion exchange properties, featuring a dual hydrophilic-hydrophobic character. It demonstrates excellent long-term structural stability and regeneration capabilities, allowing for multiple reuse cycles without significant performance loss.</t>
  </si>
  <si>
    <t>• Wastewater treatment and purification for industrial and municipal effluent facilities
• Eco-friendly soil remediation of contaminated agricultural or brownfield sites
• Commercial manufacturing of low-cost environmental filtration materials
• Waste-to-resource valorization within the industrial mica mining sector</t>
  </si>
  <si>
    <t>Ms. Navya M &amp; Dr. S Sandeep</t>
  </si>
  <si>
    <t>sandeep@kfri.res.in</t>
  </si>
  <si>
    <t>organo clay, waste mica, humic acid, pollution control, wastewater treatment, soil remediation, heavy metals</t>
  </si>
  <si>
    <t xml:space="preserve">CWRDM-04 </t>
  </si>
  <si>
    <t>Nanocomposite Beads for Efficient Nitrate Removal: Ternary Nanocomposite Technology</t>
  </si>
  <si>
    <t>Material/Formulation, Device/Equipment</t>
  </si>
  <si>
    <t>Nitrate contamination in drinking water exceeding the safe permissible limit of 10 mg/L, causing serious health risks.</t>
  </si>
  <si>
    <t>A cost-effective, sustainable ternary nanocomposite technology using Fe₃O₄@chitosan beads coated with Ag-doped TiO₂. The system combines the high adsorption capacity of magnetite (Fe₃O₄), the binding and biodegradable matrix of chitosan, and the advanced photocatalytic action of titanium dioxide (TiO₂). Silver (Ag) doping enhances the composite's visible light activity, enabling efficient solar-powered nitrate reduction via co-precipitation and sol-gel synthesis crosslinked with glutaraldehyde.</t>
  </si>
  <si>
    <t>• Point-of-use (POU) domestic water purification systems and consumer filters
• Decentralized groundwater remediation schemes in high-fertilizer agricultural zones
• Large-scale industrial effluent treatment setups for nitrate-heavy manufacturing discharges
• Commercial production of functionalized photocatalytic water treatment media</t>
  </si>
  <si>
    <t>Dr. Smitha V.S</t>
  </si>
  <si>
    <t>smithavs@cwrdm.org</t>
  </si>
  <si>
    <t>nitrate removal, nanocomposite beads, chitosan, magnetite, photocatalysis, water purification, solar reduction</t>
  </si>
  <si>
    <t xml:space="preserve">CWRDM-05 </t>
  </si>
  <si>
    <t>Rainfall Insights Dashboard: HYDRAH Data Visualization Tool</t>
  </si>
  <si>
    <t>Software/Digital Platform, Decision-Support/Analytical Tool</t>
  </si>
  <si>
    <t>Lack of accessible, interactive tools to explore and analyze rainfall trends, patterns, and extreme events in tropical regions.</t>
  </si>
  <si>
    <t>The HYDRAH (Hydrological Rainfall Analysis for Humid Tropics) dashboard is an interactive data visualization tool developed using the Shiny package in R. It enables the exploration of rainfall data to analyze long-term trends, anomalies, and extreme events in humid tropical regions. The intuitive interface features dedicated tabs for rainfall overviews, seasonal analysis using time series plots and histograms, and a statistical summary that identifies extreme precipitation. Designed for researchers and planners, the platform supports flood risk assessment, water resource management, and climate resilience strategies through data-driven insights.</t>
  </si>
  <si>
    <t>• Integration into government flood risk assessment and climate resilience planning frameworks
• Deployment by environmental agencies for high-level hydrological research and monitoring
• Water resource management and infrastructure planning by municipal authorities
• Academic and scientific analysis of extreme precipitation events and seasonal shifts</t>
  </si>
  <si>
    <t>Dr. Naveena K</t>
  </si>
  <si>
    <t>naveenak@cwrdm.org</t>
  </si>
  <si>
    <t>HYDRAH, rainfall dashboard, data visualization, Shiny package, hydrological analysis, extreme events, flood risk</t>
  </si>
  <si>
    <t xml:space="preserve">ICCS-01 </t>
  </si>
  <si>
    <t>ML-Based Rainfall Nowcasting: Short-Term Precipitation Forecasting System</t>
  </si>
  <si>
    <t>KSCSTE-Institute for Climate Change Studies</t>
  </si>
  <si>
    <t>AI/ML Model or Algorithm, Software/Digital Platform</t>
  </si>
  <si>
    <t>Lack of high-resolution, short-term rainfall predictions that account for complex spatial and temporal patterns across diverse local terrains.</t>
  </si>
  <si>
    <t>An experimental machine learning-based forecasting tool that provides high-resolution, short-term rainfall predictions. The system utilizes real-time infrared and water vapor data from geostationary satellites alongside a high-resolution Digital Elevation Model (DEM) to account for local terrain influences like elevation and slope. The data is processed through a Convolutional Long Short-Term Memory (ConvLSTM) deep learning architecture designed to recognize complex spatiotemporal patterns. The model outputs dynamic rainfall intensity maps (mm/hr) that update continuously as new satellite data is received.</t>
  </si>
  <si>
    <t>• Disaster preparedness and early warning systems by emergency management agencies
• Short-term agricultural planning and active crop protection
• Water resource management and municipal reservoir operations
• Integration into commercial weather forecasting and meteorological platforms</t>
  </si>
  <si>
    <t>Dr. Sinan Nizar &amp; Dr. C. C. Bajish</t>
  </si>
  <si>
    <t>sinan@iccs.res.in</t>
  </si>
  <si>
    <t>machine learning, rainfall nowcasting, ConvLSTM, digital elevation model, satellite imagery, precipitation forecasting</t>
  </si>
  <si>
    <t xml:space="preserve">CWRDM-06 </t>
  </si>
  <si>
    <t>Copper-Nickel Nanocomposite: Bimetallic Water Purification Material</t>
  </si>
  <si>
    <t>Arsenic, heavy metal, and bacterial contamination in water requiring stable, scalable, and reusable purification methods.</t>
  </si>
  <si>
    <t>A water purification technology utilizing bimetallic copper-nickel nanoparticles (CuNi BNPs) embedded within porous styrene-divinylbenzene (St-DVB) polymer microbeads. Copper provides low toxicity and antimicrobial properties, while nickel offers strong chemical and magnetic characteristics. Combining them enhances heavy metal and bacterial removal, particularly for arsenic adsorption. Immobilizing the nanoparticles on reusable polymer microbeads prevents aggregation and increases the active surface area. The resulting nanocomposite operates efficiently in continuous adsorption column systems, providing a stable, low-cost, and scalable method for water treatment across a wide pH range.</t>
  </si>
  <si>
    <t>• Heavy metal and arsenic removal in municipal water treatment facilities
• Continuous adsorption column systems for industrial effluent purification
• Point-of-use domestic water filtration devices for rural and urban settings
• Commercial production of reusable, porous polymer adsorbent microbeads</t>
  </si>
  <si>
    <t>Dr. P S Harikumar &amp; Ms. Hridya T K</t>
  </si>
  <si>
    <t>rtr@cwrdm.org</t>
  </si>
  <si>
    <t>copper-nickel nanocomposite, water purification, CuNi BNPs, heavy metal adsorption, arsenic removal, styrene-divinylbenzene, polymer microbeads</t>
  </si>
  <si>
    <t xml:space="preserve">IRTC-01 </t>
  </si>
  <si>
    <t>Microbial Consortium for Composting: High-Altitude Biowaste Management</t>
  </si>
  <si>
    <t xml:space="preserve">Integrated Rural Technology centre (IRTC) </t>
  </si>
  <si>
    <t>Biological Resource (Strain/Enzyme/Vaccine/Biopesticide), Process/Method (Research Study or Evaluation)</t>
  </si>
  <si>
    <t>Conventional biowaste composting methods fail to function effectively in high-altitude, low-temperature climatic conditions.</t>
  </si>
  <si>
    <t>A customized microbial consortium developed to enable effective biowaste management in high-altitude, low-temperature regions like Munnar. The system isolates local psychrophilic (cold-tolerant) and efficient microorganisms from local soil and decayed debris to ensure optimal functioning in challenging climates. This biological framework is complemented by a polyhouse structure designed to trap solar heat and maintain favorable daytime composting temperatures. The consortium currently processes 3-4 tons of biowaste daily into an organic fertilizer marketed as "Munnar Green Biomanure."</t>
  </si>
  <si>
    <t>• Municipal biowaste management and sanitation in high-altitude or low-temperature regions
• Commercial production and retail of organic fertilizers and biomanure
• Implementation in eco-tourism zones requiring sustainable, sustainable waste treatment
• Rural livelihood and women's empowerment programs via local manufacturing cooperatives</t>
  </si>
  <si>
    <t>Dr. P N Damodaran</t>
  </si>
  <si>
    <t>pndamodaran@gmail.com</t>
  </si>
  <si>
    <t>microbial consortium, windrow composting, psychrophilic microbes, biomanure, high altitude, waste management</t>
  </si>
  <si>
    <t xml:space="preserve">IRTC-02 </t>
  </si>
  <si>
    <t>Microbial Consortia for Sustainable Waste Management: Tropical Waste Processing Blend</t>
  </si>
  <si>
    <t>Biological Resource (Strain/Enzyme/Vaccine/Biopesticide)</t>
  </si>
  <si>
    <t>Environmental hazards from waste mismanagement requiring scalable, eco-friendly, and decentralized biological waste processing alternatives.</t>
  </si>
  <si>
    <t>An eco-friendly waste management solution utilizing purpose-driven microbial consortia developed for tropical regions. The technology relies on the large-scale production of tailored microbial blends optimized to treat diverse waste streams via microbial fermentation. Supported by a dedicated repository for consistent inoculant supply, these adaptable blends enable year-round, decentralized zero-waste processing. The initiative replaces conventional chemical treatments with green biotechnology, promoting a circular economy where biowaste is safely converted into resources.</t>
  </si>
  <si>
    <t>• Decentralized solid waste management by local municipal bodies and households
• Commercial production and distribution of microbial inoculant blends
• Integration into corporate zero-waste disposal practices and industrial waste treatment
• Generation of rural livelihoods and bio-based enterprise cooperatives for women</t>
  </si>
  <si>
    <t>microbial consortia, waste management, windrow composting, microbial fermentation, zero-waste, green biotechnology</t>
  </si>
  <si>
    <t xml:space="preserve">CWRDM-07 </t>
  </si>
  <si>
    <t>Rooftop Rainwater Calculator: Web-Based Harvesting Estimation Tool</t>
  </si>
  <si>
    <t>Lack of localized, scientific planning tools for household-level rooftop rainwater harvesting systems and storage capacity estimation.</t>
  </si>
  <si>
    <t>A user-centric, web-based digital tool designed to promote household-level water security through the scientific planning of rooftop rainwater harvesting (RWH). Developed specifically for Kerala's climate, the system integrates location-based meteorological data with user inputs such as rooftop dimensions, roof material, and household size. It estimates the harvestable water volume across key hydrological seasons and calculates the optimal storage capacity required during periods of water scarcity. Additionally, it provides preliminary guidance on implementing physical RWH components like gutters, filters, and recharge structures.</t>
  </si>
  <si>
    <t>• Household-level deployment for decentralized domestic water security planning
• Integration into municipal water conservation and urban planning frameworks
• Support for environmental NGOs and policymakers promoting climate adaptation
• Lead-generation and system sizing for commercial rainwater harvesting equipment vendors</t>
  </si>
  <si>
    <t>Mr. Prajith V., Ms. Shafna K P, Mr. Prasanth S S</t>
  </si>
  <si>
    <t>prajith@cwrdm.org</t>
  </si>
  <si>
    <t>rooftop rainwater harvesting, RWH, calculator, water security, storage capacity, decentralized water systems</t>
  </si>
  <si>
    <t xml:space="preserve">JNTBGRI-02 </t>
  </si>
  <si>
    <t>Nature-Inspired Neurotoxins from Nepenthes: Insecticidal and Therapeutic Compounds</t>
  </si>
  <si>
    <t>Biological Resource (Strain/Enzyme/Vaccine/Biopesticide), Material/Formulation</t>
  </si>
  <si>
    <t>Need for natural, plant-based acetylcholinesterase (AChE) inhibitors for safe agricultural pest control and Alzheimer's disease therapeutics.</t>
  </si>
  <si>
    <t>Indian Nepenthes pitcher plants act as natural CO₂ chambers, secreting an extrafloral nectar (EFN) laced with (+)-isoshinanolone, a natural inhibitor of acetylcholinesterase (AChE). This neurotoxic compound acts as a 'toxic sugar bait' that impairs neuronal activity and flight response in insects. This discovery reveals the plant's deceptive prey capture strategy and identifies a potent dual-use molecule. The extracted AChE inhibitor presents strong translational potential as both a safe, natural insecticide for agriculture and a promising candidate molecule for Alzheimer's disease therapy, blending ecology with pharmacology.</t>
  </si>
  <si>
    <t>• Commercial development of natural, bio-based insecticides for agricultural pest management
• Pharmaceutical research and drug development for Alzheimer's disease therapies
• Biomimicry and chemical synthesis of (+)-isoshinanolone for commercial applications
• Biodiversity conservation and chemical profiling of endemic carnivorous plants</t>
  </si>
  <si>
    <t>Dr. B. Sabulal</t>
  </si>
  <si>
    <t>sabulal@gmail.com</t>
  </si>
  <si>
    <t>Nepenthes, pitcher plant, neurotoxin, (+)-isoshinanolone, acetylcholinesterase inhibitor, AChE, natural insecticide, Alzheimer's therapy, CO₂</t>
  </si>
  <si>
    <t xml:space="preserve">KFRI-07 </t>
  </si>
  <si>
    <t>Nutritious Bamboo-based Food Products: Shoot Powder and Flakes</t>
  </si>
  <si>
    <t>Material/Formulation, Process/Method</t>
  </si>
  <si>
    <t>High perishability, short harvest windows, and cyanogenic toxicity of fresh bamboo shoots limit their culinary adoption and commercial utilization.</t>
  </si>
  <si>
    <t>Standardized processing protocols to convert fresh, highly perishable bamboo shoots into shelf-stable, safe, and nutrient-dense food products: bamboo shoot powder and freeze-dried flakes. The process removes naturally occurring cyanogenic compounds to ensure safety. The powder can be blended into traditional staple recipes (breads, biscuits), while the freeze-dried flakes leverage lyophilization technology (sublimation under vacuum) to preserve original flavor, texture, and nutritional integrity while significantly extending shelf life.</t>
  </si>
  <si>
    <t>• Commercial food processing and manufacturing (bakery, snacks, functional foods)
• Production of shelf-stable health supplements and high-fiber nutritional additives
• Rural entrepreneurship and local value-addition setups near bamboo harvesting clusters
• Supply chain sourcing for modern culinary and packaged food industries</t>
  </si>
  <si>
    <t>Dr. R Jayaraj</t>
  </si>
  <si>
    <t>jayaraj@kfri.res.in</t>
  </si>
  <si>
    <t>bamboo shoots, food processing, bamboo powder, freeze-dried flakes, lyophilization, functional food, cyanogenic compounds</t>
  </si>
  <si>
    <t xml:space="preserve">IRTC-03 </t>
  </si>
  <si>
    <t>Sustainable &amp; High-Potency Dried Mushrooms Powder for the Future</t>
  </si>
  <si>
    <t>Short fresh market windows, high contamination risk, and technical barriers in rural mushroom cultivation that limit enterprise scalability and grower income.</t>
  </si>
  <si>
    <t>An end-to-end scientific mushroom cultivation and value-addition model that combines agricultural biotechnology with decentralized production systems. The technology features the production of certified, high-purity, contamination-free spawn and pre-sterilized, inoculated "ready-to-fruit" mushroom beds that reduce setup complexity for growers. The model incorporates standardized post-harvest dehydration and powdering techniques designed to eliminate perishability while retaining peak flavor, texture, and nutritional profiles.</t>
  </si>
  <si>
    <t>• Commercial manufacturing of high-protein, functional mushroom powders and dried foods
• Distribution networks for pre-sterilized, ready-to-fruit domestic and commercial growing kits
• B2B supply of certified, genetically pure mushroom spawn to large-scale cultivation operations
• Sourcing of natural savory flavor-enhancers and micronutrient additives for the FMCG food sector</t>
  </si>
  <si>
    <t>Dr. Veena George M</t>
  </si>
  <si>
    <t>george.veena@gmail.com</t>
  </si>
  <si>
    <t>mushroom powder, dried mushrooms, ready-to-fruit beds, spawn production, value-added food, food technology, capacity building</t>
  </si>
  <si>
    <t xml:space="preserve">CoEM-01 </t>
  </si>
  <si>
    <t>Probiotic Chocolate with Prebiotic Fibres from Kerala's Seasonal Fruits</t>
  </si>
  <si>
    <t>Centre of Excellence in Nutraceuticals (CoEN)</t>
  </si>
  <si>
    <t>Underutilization of seasonal regional fruits leading to high food waste, combined with a lack of indulgent, clean-label functional food options that support preventive gut health.</t>
  </si>
  <si>
    <t>A functional food product incorporating live probiotic cultures inside a premium chocolate base enriched with natural prebiotic fibers. The fibers are derived from underutilized, seasonal indigenous fruits of Kerala, including jackfruit, Indian apple, banana, mango, and pineapple. This formulation delivers active gut-microbiome support along with naturally occurring dietary fibers, antioxidants, and essential micronutrients. The clean-label processing model focuses on high-value post-harvest resource utilization to deliver a healthy wellness snack.</t>
  </si>
  <si>
    <t>• Premium wellness confectionery manufacturing and retail packaging
• Industrial scale extraction of prebiotic fibers from indigenous tropical fruits
• Strategic sourcing networks with agricultural cooperatives for seasonal fruit processing
• E-commerce and boutique retail distribution targeting the functional health food market</t>
  </si>
  <si>
    <t>Dr. Mahesh S Krishna &amp; Dr. Sabu Thomas</t>
  </si>
  <si>
    <t>director.coem@kerala.gov.in</t>
  </si>
  <si>
    <t>probiotic chocolate, prebiotic fiber, gut microbiome, functional food, seasonal fruits, value addition, clean label</t>
  </si>
  <si>
    <t xml:space="preserve">CoEM-02 </t>
  </si>
  <si>
    <t>Next-Generation Starter Culture for Kerala's Traditional Fermented Food</t>
  </si>
  <si>
    <t>KSCSTE- Centre of Excellence in Microbiome (CoEM)</t>
  </si>
  <si>
    <t>Variations in culinary quality, unpredictable results, and elevated risks of microbial contamination associated with traditional back-slop fermentation practices.</t>
  </si>
  <si>
    <t>A reliable, standardized, and ready-to-use modular microbial starter culture blend derived from authentic traditional idli and dosa batters. The formulation relies on isolated beneficial bacteria chosen for optimized acidification, active gas production, and distinct textural properties. Strains are validated via advanced genome sequencing to ensure performance, absolute safety, and potential probiotic value, offering a clean-label alternative free from synthetic additives or preservatives.</t>
  </si>
  <si>
    <t>• Commercial production of packaged starter cultures for household and industrial culinary spaces
• Formulation of clean-label, functional probiotic foods and health supplements
• Standardized supply chains for commercial batter manufacturers and corporate food brands
• Grassroots micro-enterprise and rural development models based on bio-input distribution</t>
  </si>
  <si>
    <t>Dr. Aparna Shankar &amp; Dr. Sabu Thomas</t>
  </si>
  <si>
    <t>starter culture, traditional fermentation, microbiome, idli dosa batter, food safety, probiotics, clean label</t>
  </si>
  <si>
    <t>Fungus-Derived Antimicrobial for Pharma and Agri Use: Diethyl Phthalate Extraction</t>
  </si>
  <si>
    <t>The global threat of antimicrobial resistance (AMR) creating an urgent need for novel, bio-based, broad-spectrum therapeutic and agricultural agents.</t>
  </si>
  <si>
    <t>A natural product-based innovation centered on the discovery of Diaporthe penetriteum, an endophytic fungus isolated from Lagenandra toxicaria that serves as a novel microbial source of diethyl phthalate. The fungus is cultured under controlled laboratory conditions, and its bioactive metabolites are extracted using an eco-friendly ethyl acetate process. High-Performance Liquid Chromatography (HPLC) analysis confirmed diethyl phthalate as the active compound, marking its first reported extraction from this species. The extract demonstrates strong broad-spectrum antimicrobial efficacy against major human pathogens, including Staphylococcus aureus, Bacillus subtilis, Pseudomonas aeruginosa, and E. coli.</t>
  </si>
  <si>
    <t>• Next-generation natural antibiotic formulations for human and animal healthcare
• Bio-based crop protectants and biopesticides for sustainable agricultural pest control
• Out-licensing pipelines for pharmaceutical companies targeting multi-drug resistant strains
• Commercialization of green, eco-friendly microbial metabolite extraction processes</t>
  </si>
  <si>
    <t>TRL 3-4</t>
  </si>
  <si>
    <t>Diaporthe penetriteum, endophytic fungi, diethyl phthalate, antimicrobial resistance, AMR, biopesticide, green extraction</t>
  </si>
  <si>
    <t xml:space="preserve">IAV-01 </t>
  </si>
  <si>
    <t>Gene-to-Structure Platform for Rapid Antiviral Discovery</t>
  </si>
  <si>
    <t>Institute of Advanced Virology (IAV)</t>
  </si>
  <si>
    <t>Platform/Infrastructure, Process/Method</t>
  </si>
  <si>
    <t>Long timelines, high technical fragmentation, and execution complexity in resolving viral protein structures for structure-based drug design.</t>
  </si>
  <si>
    <t>An end-to-end operational platform established by the Department of Antiviral Research (DAV) to support biotech startups and pharmaceutical partners in accelerating antiviral therapeutics. The platform provides comprehensive structural characterization of viral and host proteins by integrating target gene cloning, recombinant protein expression across bacterial, insect, and mammalian systems, and high-purity protein purification. 3D structures are determined via X-ray crystallography to enable molecular docking, complemented by real-time binding assays using Bio-Layer Interferometry (BLI) and Isothermal Titration Calorimetry (ITC) to measure exact drug-target interactions.</t>
  </si>
  <si>
    <t>• Contract research and development (CRD) services for emerging biotech teams
• Structure-based drug design (SBDD) and computer-aided molecular docking validation
• Early-stage viral target discovery and later-stage therapeutic lead optimization pipelines
• Strategic co-development of next-generation broad-spectrum antiviral therapeutics</t>
  </si>
  <si>
    <t>Dr. Jithesh Kottur</t>
  </si>
  <si>
    <t>jitheshkottur@iav.res.in</t>
  </si>
  <si>
    <t>gene-to-structure, antiviral discovery, X-ray crystallography, recombinant protein, bio-layer interferometry, molecular docking, structural biology</t>
  </si>
  <si>
    <t xml:space="preserve">IAV-02 </t>
  </si>
  <si>
    <t>Point-of-Care Prognostic Device for Dengue Severity</t>
  </si>
  <si>
    <t>Absence of reliable early-stage prognostic tools to predict severe dengue progression, causing massive clinical uncertainty and high rates of unnecessary hospitalizations.</t>
  </si>
  <si>
    <t>A lateral flow-based point-of-use prognostic device driven by machine learning insights to predict dengue severity early in the febrile phase. Instead of detecting viral antigens or antibodies to confirm infection, this device identifies and quantifies specific endothelial-derived host proteins discovered via machine learning algorithms to be differentially expressed in patients tracking toward severe complications (e.g., plasma leakage, organ dysfunction). This portable strip format tests serum or plasma samples at the frontline to enable early risk stratification before visible clinical deterioration occurs.</t>
  </si>
  <si>
    <t>• Frontline clinical diagnostics in primary health centers and outbreak zones
• Manufacturing of rapid lateral flow prognostic test strips and reader devices
• Strategic supply chains for emergency medical services and resource-limited clinics
• Integration into digital healthcare triage systems and telemedicine diagnostic networks</t>
  </si>
  <si>
    <t>Dr. Agiesh Kumar Balakrishna Pillai</t>
  </si>
  <si>
    <t>agiesh.b@iav.res.in</t>
  </si>
  <si>
    <t>dengue severity, prognostic device, lateral flow assay, endothelial proteins, point-of-care, clinical triage, machine learning biomarkers</t>
  </si>
  <si>
    <t xml:space="preserve">IAV-03 </t>
  </si>
  <si>
    <t>Pathogen Enrichment Method for Accurate Microbiome Sequencing</t>
  </si>
  <si>
    <t>Process/Method</t>
  </si>
  <si>
    <t>Overwhelming presence of host DNA masks microbial genetic signatures in metagenomic sequencing, lowering diagnostic sensitivity for low-abundance pathogens and increasing sequencing costs.</t>
  </si>
  <si>
    <t>A novel selective host-genome depletion and pathogen read enrichment method optimized for high-resolution metagenomic sequencing of gut and organ microbiomes (covering bacteria, phages, and viruses). The protocol decreases the ratio of background host genetic material before sequencing, allowing low-abundance pathogens to be detected with higher sensitivity. The method is designed to track microbiome shifts across healthy, diseased, chronic treatment, or altered dietary states without requiring altered sequencing hardware.</t>
  </si>
  <si>
    <t>• Clinical molecular diagnostics for complex or low-load viral and bacterial infections
• Commercial metagenomic sequencing preparation kits and reagent manufacturing
• Contract research services for validating nutraceutical and dietary microbiome shifts
• High-throughput public health surveillance and infectious disease epidemiology</t>
  </si>
  <si>
    <t>Dr. P.A. Desingu</t>
  </si>
  <si>
    <t>padesingu@iav.res.in</t>
  </si>
  <si>
    <t>pathogen enrichment, host depletion, metagenomics, microbiome sequencing, viral epidemiology, precision diagnostics</t>
  </si>
  <si>
    <t xml:space="preserve">IAV-04 </t>
  </si>
  <si>
    <t>Monoclonal Antibodies for Detecting and Blocking Viral Infections</t>
  </si>
  <si>
    <t>Lack of highly specific diagnostic tools and targeted therapeutics to rapidly detect and neutralize emerging and re-emerging viral threats.</t>
  </si>
  <si>
    <t>A pipeline for developing monoclonal antibodies (mAbs) using hybridoma technology. BALB/c mice are immunized with viral structural proteins via plasmid-based gene delivery. Upon optimal IgG response, splenocytes are fused with myeloma cells, selected via HAT medium, and subcloned to establish stable monoclones. The mAbs undergo functional characterization (Western blot, immunofluorescence) and epitope mapping to pinpoint critical antigenic sites, establishing a foundation for neutralizing therapeutic antibodies and advanced diagnostic assays.</t>
  </si>
  <si>
    <t>• Commercial manufacturing of rapid viral diagnostic kits and ELISA reagents
• Therapeutic monoclonal antibody design for neutralizing viral infections
• National biodefense stockpiling and outbreak surveillance programs
• Commercial out-licensing to global pharmaceutical and clinical diagnostic companies</t>
  </si>
  <si>
    <t>Dr. Mohanan Valiya Veettil</t>
  </si>
  <si>
    <t>mohanveetil@iav.res.in</t>
  </si>
  <si>
    <t>monoclonal antibodies, mAbs, hybridoma technology, viral diagnostics, neutralizing antibodies, emerging viral infections, biodefense</t>
  </si>
  <si>
    <t xml:space="preserve">IAV-05 </t>
  </si>
  <si>
    <t>Rapid Point-of-Care Diagnostics for Viral Infections: Lateral Flow &amp; RT-LAMP Assays</t>
  </si>
  <si>
    <t>Device/Equipment, Process/Method</t>
  </si>
  <si>
    <t>Lack of timely, accessible, and cost-effective diagnostics for acute viral infections in outbreak-prone regions with limited centralized lab infrastructure.</t>
  </si>
  <si>
    <t>A next-generation diagnostic platform integrating antigen-antibody detection via lateral flow assays and nucleic acid detection using isothermal reverse transcription loop-mediated amplification (RT-LAMP). The lateral flow devices provide visual viral protein detection within minutes. The cartridge-based RT-LAMP enables rapid viral genetic amplification at a constant temperature, eliminating the need for complex thermocyclers. Both formats deliver results in 15-30 minutes and require minimal training, making them optimized for field and frontline deployment.</t>
  </si>
  <si>
    <t>• Frontline diagnostics in community clinics and mobile health units
• Field surveillance and rapid epidemic response by public health agencies
• Commercial manufacturing of rapid lateral flow strips and RT-LAMP diagnostic cartridges
• Stockpiling for pandemic preparedness in low-resource and high-risk regions</t>
  </si>
  <si>
    <t>Dr. Aswathyraj S</t>
  </si>
  <si>
    <t>aswathyraj@iav.res.in</t>
  </si>
  <si>
    <t>point-of-care diagnostics, lateral flow assay, RT-LAMP, viral infections, disease surveillance, nucleic acid detection, rapid test</t>
  </si>
  <si>
    <t xml:space="preserve">IAV-06 </t>
  </si>
  <si>
    <t>Recombinant Viral Antigens for Diagnostics and Vaccines</t>
  </si>
  <si>
    <t>Biological Resource (Strain/Enzyme/Vaccine/Biopesticide), Process/Method</t>
  </si>
  <si>
    <t>Limitations in scalability, safety, and structural/functional fidelity when producing highly specific viral proteins using traditional native antigen isolation methods.</t>
  </si>
  <si>
    <t>A robust protein expression platform using recombinant DNA technology to synthesize highly specific, safe, and scalable viral antigens. The platform features established optimization protocols and proprietary expression vectors tailored for two distinct pipelines: a fast, cost-effective E. coli bacterial system for rapid scalability, and a mammalian HEK293 cell platform capable of executing complex post-translational modifications, correct folding, and disulfide bond formations. Downstream processing is supported by automated ÄKTA pure™ chromatography systems for high-yield, high-purity isolation.</t>
  </si>
  <si>
    <t>• Production of raw antigenic proteins for commercial diagnostic kit manufacturing (ELISA, Lateral Flow)
• Development of subunit vaccine candidates and clinical therapeutic proteins
• Contract research services for structural biology and target validation programs
• Standardized supply chains for academic, industrial, and clinical research reagents</t>
  </si>
  <si>
    <t>Dr. Priya P</t>
  </si>
  <si>
    <t>priyap@iav.res.in</t>
  </si>
  <si>
    <t>recombinant antigens, protein expression, E. coli platform, HEK293, post-translational modification, ÄKTA pure, molecular cloning</t>
  </si>
  <si>
    <t>Affordable Advanced Wound Care Using Herbal-Based Nanopad</t>
  </si>
  <si>
    <t>High cost of advanced wound care products and the need for comprehensive multi-stage therapeutic intervention to accelerate delayed healing and prevent infections.</t>
  </si>
  <si>
    <t>A multi-functional nanofibre wound healing pad developed using a layer-by-layer construction strategy, where each layer executes a targeted therapeutic function. The core layer incorporates "Coded Compound X", a bioactive molecule isolated from "Coded Plant Y" via activity-guided isolation. Preclinical evaluations in rat models demonstrated superior wound repair metrics compared to standard reference drugs. The multi-layered design acts synergistically to provide antimicrobial protection, optimal moisture retention, and accelerated tissue regeneration.</t>
  </si>
  <si>
    <t>• Advanced clinical wound dressings for chronic ulcers and burn management
• Mass-market first-aid, surgical, and emergency trauma care kits
• Manufacturing of specialized herbal-bioactive medical textiles
• Indigenous low-cost supply chains for rural and resource-limited healthcare sectors</t>
  </si>
  <si>
    <t>Dr. V Gayathri</t>
  </si>
  <si>
    <t>gayathrieaswer@gmail.com</t>
  </si>
  <si>
    <t>wound care, nanofibre pad, herbal bioactive, layer-by-layer, tissue regeneration, antimicrobial dressing, Coded Compound X</t>
  </si>
  <si>
    <t xml:space="preserve">JNTBGRI-03 </t>
  </si>
  <si>
    <t>Safe &amp; Scalable Sweet Flag Clones for Pharma Use: In Vitro Acorus calamus</t>
  </si>
  <si>
    <t>High toxicity and carcinogenic risks associated with elevated ß-asarone levels in natural sweet flag (Acorus calamus) varieties, which restricts their safe commercial and pharmaceutical use.</t>
  </si>
  <si>
    <t>Identification of elite, low ß-asarone accessions of Acorus calamus (sweet flag) and the development of rapid in vitro multiplication protocols using biotechnological interventions. This approach facilitates the large-scale, sustainable propagation of pharmacologically effective and safe sweet flag clones that comply with USFDA, WHO, and European Commission regulatory limits regarding ß-asarone toxicity.</t>
  </si>
  <si>
    <t>• Commercial cultivation of safe, regulatory-compliant medicinal herbs for agriculture
• Extraction of low-toxicity calamus oil for pharmaceutical and nutraceutical formulations
• Supply chains for traditional medicine and modern therapeutic manufacturing
• Sustainable mass-propagation services via commercial plant tissue culture labs</t>
  </si>
  <si>
    <t>Dr. Radha R K</t>
  </si>
  <si>
    <t>radhark.biotech@gmail.com</t>
  </si>
  <si>
    <t>Acorus calamus, sweet flag, ß-asarone, calamus oil, in vitro propagation, tissue culture, low toxicity, medicinal herb, biotechnology</t>
  </si>
  <si>
    <t xml:space="preserve">JNTBGRI-04 </t>
  </si>
  <si>
    <t>Herbal Drug for Comprehensive Wellness: Multi-Therapeutic Single-Herb Formulation</t>
  </si>
  <si>
    <t>The reliance on complex polyherbal mixtures or chemical-based synthetic drugs with potential side effects for managing pain, inflammation, and liver dysfunction.</t>
  </si>
  <si>
    <t>A novel, patented single-herb formulation developed to deliver broad-spectrum therapeutic effects without synthetic additives. Rich in flavonoids and polyphenols, the composition acts simultaneously as an anti-inflammatory (inhibiting COX-2 and TNF-a), analgesic, hepatoprotective, and antioxidant agent. It is manufactured in two standardized, user-friendly formats: oral granules for systemic treatment and topical ointment for localized application, merging traditional medicinal wisdom with scientific validation.</t>
  </si>
  <si>
    <t>• Commercial manufacturing of over-the-counter (OTC) phytopharmaceutical products
• Alternative medicine and holistic healthcare treatment therapies
• Production of natural, non-toxic topical ointments for localized pain relief
• Dietary and wellness supplements targeting liver health and oxidative stress</t>
  </si>
  <si>
    <t>Dr. Suja SR</t>
  </si>
  <si>
    <t>sujasr.vellayani@gmail.com</t>
  </si>
  <si>
    <t>herbal drug, single-herb formulation, phytopharmaceutical, anti-inflammatory, hepatoprotective, antioxidant, oral granules, COX-2</t>
  </si>
  <si>
    <t xml:space="preserve">CoEM-03 </t>
  </si>
  <si>
    <t>Probiotic from Infant Microbiome for Infection Prevention: Prophylactic/Adjuvant Formulation</t>
  </si>
  <si>
    <t>The escalating global threat of multi-drug resistant bacterial infections and antibiotic resistance, particularly against last-resort antibiotics like colistin.</t>
  </si>
  <si>
    <t>A novel probiotic formulation derived from the infant gut microbiome developed as a prophylactic and adjuvant solution against multi-drug resistant pathogens. The lead strain exhibits potent broad-spectrum antimicrobial activity, notably against colistin-resistant Klebsiella pneumoniae, MRSA, drug-resistant Vibrio cholerae, Salmonella enterica, Shigella sonnei, and enteropathogenic E. coli. Comprehensive genome sequencing validates human safety by confirming the absolute absence of virulence factors and transferable antibiotic resistance genes.</t>
  </si>
  <si>
    <t>• Development of targeted therapeutic biotics and antibiotic adjuvants
• Formulation of premium functional foods and dietary health supplements
• Clinical pipelines for managing multi-drug resistant hospital infections
• Commercial out-licensing to healthcare enterprises and biotechnology firms</t>
  </si>
  <si>
    <t>TRL 4</t>
  </si>
  <si>
    <t>Dr. Karthika S &amp; Dr. Sabu Thomas</t>
  </si>
  <si>
    <t>karthikascoem@gmail.com</t>
  </si>
  <si>
    <t>probiotic, infant microbiome, antibiotic resistance, Klebsiella pneumoniae, colistin-resistant, MRSA, functional food, biotherapeutics</t>
  </si>
  <si>
    <t xml:space="preserve">KFRI-08 </t>
  </si>
  <si>
    <t>Eco-Friendly Innovation in Incense Stick Production: Sustainable Binding Matrix</t>
  </si>
  <si>
    <t>High cost and ecological unsustainability of traditional incense production relying on Jigat bark, combined with heavy accumulation of unutilized bamboo processing waste.</t>
  </si>
  <si>
    <t>A sustainable binding matrix formulation for incense sticks and cones that replaces traditional Jigat (Litsea glutinosa) bark with locally available Litsea deccanensis bark powder. The composition incorporates up to 70% repurposed waste bamboo sawdust and bamboo charcoal from unused inter-nodal portions. The semi-solid paste is coated onto 3 mm diameter bamboo sticks (15 cm coating line) and dried at 50°C for 3 hours, creating a clean-burning matrix that allows fragrance addition during or after production.</t>
  </si>
  <si>
    <t>• Commercial production of eco-friendly FMCG incense sticks (agarbatti) and cones (dhoop)
• Upcycling pipelines for industrial bamboo processing and wood mill waste
• Sustainable raw material provisioning for cottage industries and rural artisan clusters
• Development of bio-based alternative binder systems for consumer goods</t>
  </si>
  <si>
    <t>incense sticks, binding matrix, Litsea deccanensis, bamboo waste, zero-waste manufacturing, agarbatti, eco-friendly binder</t>
  </si>
  <si>
    <t xml:space="preserve">KFRI-09 </t>
  </si>
  <si>
    <t>Biopesticide Innovation for Sustainable Teak Protection: HpNPV Formulation</t>
  </si>
  <si>
    <t>Severe timber productivity and economic losses (up to ₹75,000 per hectare annually) in valuable teak plantations caused by the defoliator pest Hyblaea puera.</t>
  </si>
  <si>
    <t>An eco-friendly, biological pest control solution utilizing the host-specific Hyblaea puera Nucleopolyhedrovirus (HpNPV) which selectively destroys the targeted pest without impacting non-target or beneficial species. The virus attacks the third-instar larvae, inducing high mortality rates within three days. KFRI pioneered the extraction of virus-laden polyhedral inclusion bodies (PIBs) from mass-produced infected larvae to develop refined, freeze-dried wettable powder formulations optimized for field-spraying.</t>
  </si>
  <si>
    <t>• Large-scale integrated pest management (IPM) protocols for state forestry corporations
• Commercial biopesticide and biological control agent manufacturing pipelines
• Forestry protection management systems and predictive pest outbreak modeling service provisions
• Private commercial teak plantation maintenance contracts</t>
  </si>
  <si>
    <t>Dr. T V Sajeev</t>
  </si>
  <si>
    <t>tvsajeev@gmail.com</t>
  </si>
  <si>
    <t>biopesticide, HpNPV, teak protection, Hyblaea puera, nucleopolyhedrovirus, biological control, polyhedral inclusion bodies</t>
  </si>
  <si>
    <t>Eco-Friendly Blood Stain Removal: Bio-based Protease Enzyme</t>
  </si>
  <si>
    <t>Difficulty in effectively removing protein-rich blood stains using conventional chemical detergents, which pose environmental concerns and risk damaging fabrics.</t>
  </si>
  <si>
    <t>A biological stain-removal solution utilizing a novel protease enzyme extracted from the endophytic bacterium Bacillus altitudinis, isolated from the rhizosphere of the medicinal plant Lagenandra toxicaria. The enzyme targets blood stains by cleaving the peptide bonds in hemoglobin and associated proteins, converting them into water-soluble fragments easily washed away. It functions with high efficiency at ambient temperatures and achieves near-complete stain removal on cotton within 12 hours without causing fabric degradation.</t>
  </si>
  <si>
    <t>• Formulation ingredient for eco-friendly household laundry detergents
• Specialty stain-removal agents for commercial hospital and clinical laundry systems
• Industrial scale enzyme production for bio-cleaning solutions
• Additive optimization within green FMCG product lines</t>
  </si>
  <si>
    <t>blood stain removal, protease enzyme, Bacillus altitudinis, bio-detergent, FMCG, eco-friendly cleaning, protein degradation</t>
  </si>
  <si>
    <t xml:space="preserve">JNTBGRI-05 </t>
  </si>
  <si>
    <t>Tropical Soil Scent: Bottling the Aroma of Rain (Petrichor)</t>
  </si>
  <si>
    <t>Heavy reliance on synthetic aromatic chemical formulations to recreate the natural, widely popular scent of rain on dry earth (petrichor).</t>
  </si>
  <si>
    <t>Identification and extraction of naturally occurring geosmin from a plant-based source instead of conventional soil bacteria. The essential oil extract was chemically validated using Gas Chromatography-Mass Spectrometry (GC-MS) to ensure a high-fidelity, crude yet authentic petrichor profile rich in volatile components. This botanical formulation replaces standard petroleum-derived fragrance syntheses with a green, scalable alternative.</t>
  </si>
  <si>
    <t>• High-end perfumery and fine fragrance manufacturing formulation collections
• Aromatherapy formulations, functional wellness items, and spa cosmetic lines
• Eco-friendly room misters, diffusers, and premium FMCG home fragrance lines
• Natural raw material sourcing pipelines for international cosmetic brands</t>
  </si>
  <si>
    <t>Dr. Rameshkumar K. B</t>
  </si>
  <si>
    <t>kbrtbgri@gmail.com</t>
  </si>
  <si>
    <t>petrichor, geosmin, tropical soil scent, essential oil, GC-MS validation, plant-based chemistry, natural perfumery, FMCG</t>
  </si>
  <si>
    <t>Eco-Friendly Dry Flower Hamper (Aqua Florea)</t>
  </si>
  <si>
    <t>Proliferation of the invasive strawflower (Xerochrysum bracteatum) threatening native biodiversity in regions like the Nilgiris, combined with the high environmental footprint of synthetic/plastic gifts.</t>
  </si>
  <si>
    <t>An eco-friendly corporate and academic memento/hamper handcrafted from locally sourced dried flora and foliage. The primary material utilizes the vibrant, long-lasting petals of the invasive strawflower, converting an ecological threat into a value-added consumer product. The manufacturing process is entirely manual, chemical-free, and designed for decentralized production by local women's self-help groups.</t>
  </si>
  <si>
    <t>• Sustainable corporate gifting and institutional mementos for events
• Souvenirs for eco-tourism hubs, botanical gardens, and heritage sites
• Commercial handcrafted decoration and sustainable FMCG lifestyle products
• Green skill development and rural livelihood programs</t>
  </si>
  <si>
    <t>Dr. Manjula K M &amp; Dr. Raghupathi B</t>
  </si>
  <si>
    <t>dry flowers, strawflower, Xerochrysum bracteatum, invasive species, eco-friendly gifting, rural entrepreneurship, biodegradable memento</t>
  </si>
  <si>
    <t xml:space="preserve">KFRI-10 </t>
  </si>
  <si>
    <t>GI Registered Kannadippaya (Bamboo Mat): From Mats to Wall Hangings</t>
  </si>
  <si>
    <t>Preservation of traditional tribal heritage crafts, economic marginalization of indigenous artisans, and the loss of eco-friendly consumer alternatives to synthetic lifestyle products.</t>
  </si>
  <si>
    <t>A traditional heritage bamboo mat craft known as Kannadippaya, historically woven by five Scheduled Tribe communities (Oorali, Mannan, Muthuva, Malayan, and Kadar) using fine slivers of thin-walled reed bamboo (Teinostachyum wightii) harvested from the Western Ghats. The hallmark of this craft is its intricate "kannadi" (mirror) square motifs created by interweaving warp and weft patterns into complex layouts with over sixty diagonal and reflective motifs. The mats feature light-reflective qualities and extreme physical flexibility.</t>
  </si>
  <si>
    <t>• Premium eco-friendly consumer lifestyle products (sleeping, yoga, and table mats)
• High-end residential and commercial interior design installations or decorative wall hangings
• Sustainable corporate gifting and premium cultural boutique product lines
• Global luxury ethnic handicrafts and eco-tourism retail markets</t>
  </si>
  <si>
    <t>Kannadippaya, bamboo mat, geographical indication, GI tag, tribal craft, Teinostachyum wightii, mirror design, sustainable weaving, FMCG</t>
  </si>
  <si>
    <t xml:space="preserve">SRIBS-01 </t>
  </si>
  <si>
    <t>Advanced Electrode Platform for Fast-Charging Supercapacitors: TiO2 Nanotube Arrays</t>
  </si>
  <si>
    <t>KSCSTE - Srinivasa Ramanujan Institute for Basic Sciences</t>
  </si>
  <si>
    <t>Material/Formulation, Process/Method, Device/Equipment</t>
  </si>
  <si>
    <t>The need for scalable, high-performance, and cyclically stable electrodes with high energy and power densities for next-generation fast-charging supercapacitors.</t>
  </si>
  <si>
    <t>A novel temperature-controlled water bath anodization technique to synthesize high-performance TiO2 nanotube array (TNTA) electrodes. This approach induces in-situ crystallization, forming a mixed-phase structure (monoclinic TiO2(B) and orthorhombic Brookite) that supports both pseudocapacitive ion intercalation and surface redox reactions. The technology utilizes high oxygen vacancies and doping strategies, achieving outstanding specific capacitance (up to 916.27 F/g) and massive energy densities (up to 509 Wh/kg).</t>
  </si>
  <si>
    <t>• Manufacturing of next-generation fast-charging supercapacitors
• Advanced energy storage systems for electric vehicles (EVs) and hybrid power grids
• High-performance power components for portable electronics and medical devices
• Commercial nanomaterial synthesis and electrode fabrication pipelines</t>
  </si>
  <si>
    <t>Dr. Rachel Reena Philip</t>
  </si>
  <si>
    <t>reenatara@gmail.com</t>
  </si>
  <si>
    <t>supercapacitors, fast-charging, TiO2 nanotube arrays, anodization, energy storage, pseudocapacitance, nanomaterials</t>
  </si>
  <si>
    <t xml:space="preserve">NATPAC-01 </t>
  </si>
  <si>
    <t>Smart Traffic Signal System for Emergency Vehicle Priority</t>
  </si>
  <si>
    <t>KSCSTE - National Transportation Planning and Research Centre (NATPAC)</t>
  </si>
  <si>
    <t>Device/Equipment, Digital Technology (Software/App)</t>
  </si>
  <si>
    <t>Traffic congestion delays at urban signal junctions that prolong emergency vehicle response times during life-critical windows.</t>
  </si>
  <si>
    <t>An Emergency Vehicle Priority System (EVPS) developed in collaboration with KELTRON that dynamically grants right-of-way to emergency vehicles. The system utilizes real-time GPS coordinates mapped to specific junction arms. When an ambulance entering the zone is detected, the vehicle unit communicates with the intersection controller to trigger a pre-emptive "hurry call" sequence, overriding standard signal cycles to clear traffic ahead of the vehicle.</t>
  </si>
  <si>
    <t>• Municipal Smart City infrastructure upgrades and traffic control networks
• Centralized emergency vehicle fleet management and tracking systems
• Intelligent Transportation Systems (ITS) commercial signaling hardware installations
• Prioritized transit routing systems for fire, rescue, and public safety fleets</t>
  </si>
  <si>
    <t>Mr. B. Anish Kini</t>
  </si>
  <si>
    <t>anishkini.natpac.4@gmail.com</t>
  </si>
  <si>
    <t>EVPS, traffic signal priority, emergency vehicles, smart city, hurry call system, intelligent transport, NATPAC</t>
  </si>
  <si>
    <t xml:space="preserve">NATPAC-02 </t>
  </si>
  <si>
    <t>Kerala Transportation Database Management System (KTDMS)</t>
  </si>
  <si>
    <t>Digital Technology (Software/App)</t>
  </si>
  <si>
    <t>Fragmented, inefficient manual data collection and the lack of centralized spatial analysis for critical road assets, traffic volumes, and crash statistics.</t>
  </si>
  <si>
    <t>A comprehensive, GIS-based web and mobile ecosystem designed for strategic road asset management. KTDMS integrates a Road Asset Management System (RAMS) built on a service-oriented architecture (SOA). Field surveyors use custom Android applications to log timestamped traffic volumes, parking data, and road inventory. This data syncs instantly to a centralized web platform equipped with analytical modules to assess vehicle/pedestrian volumes and evaluate traffic signal warrants.</t>
  </si>
  <si>
    <t>• State transport and public works departments (PWD) for highway asset maintenance
• Municipal corporations and Smart City urban planning boards
• Traffic police and road safety authorities for crash mapping and mitigation
• CivicTech consulting and urban infrastructure development agencies</t>
  </si>
  <si>
    <t>TRL 6</t>
  </si>
  <si>
    <t>Mr. Sanjay Kumar V S &amp; Mr. Ebin Sam S</t>
  </si>
  <si>
    <t>sanjay.natpac@gmail.com</t>
  </si>
  <si>
    <t>KTDMS, GIS, Road Asset Management System (RAMS), traffic volume, smart transportation, NATPAC, urban mobility, database management</t>
  </si>
  <si>
    <t xml:space="preserve">NATPAC-03 </t>
  </si>
  <si>
    <t>Smart Speed Display Boards for Safer Roads at Critical Locations</t>
  </si>
  <si>
    <t>Rising road accidents at black spots and critical curves driven by overspeeding and a lack of real-time driver velocity feedback.</t>
  </si>
  <si>
    <t>A system deployment and behavioral study of Dynamic Speed Display Boards (DSDBs) that provide real-time speed feedback to passing drivers. The system's efficacy is anchored in a psychological behavioral framework analyzed using a Structural Equation Model (SEM). The model establishes that a driver's Attitude towards DSDB (ATD), Subjective Norms (SBN), and Perceived Behavioural Control (PBC) strongly drive the Intention (INT) to slow down, directly translating to measurable Speed Reduction Behaviour (SPR) at accident-prone locations.</t>
  </si>
  <si>
    <t>• Smart highway networks, sharp curves, and high-risk accident black spots
• School zones, hospital corridors, and pedestrian-heavy urban intersections
• Municipal traffic calming initiatives and smart-city speed enforcement networks
• Telematics data collection for highway planning and safety optimization</t>
  </si>
  <si>
    <t>Mr. Subin B</t>
  </si>
  <si>
    <t>mailmesubin@gmail.com</t>
  </si>
  <si>
    <t>DSDB, speed display board, black spots, Structural Equation Model, traffic safety, speed reduction, driver behavior, NATPAC</t>
  </si>
  <si>
    <t xml:space="preserve">NATPAC-04 </t>
  </si>
  <si>
    <t>Sustainable Construction Materials from Industrial Waste (CLSM)</t>
  </si>
  <si>
    <t>Disposing of massive quantities of construction debris (concrete/quarry waste) while addressing the difficulty of backfilling tight utility trenches where mechanical soil compaction is impossible.</t>
  </si>
  <si>
    <t>Controlled Low-Strength Materials (CLSM) are self-compacting, highly flowable cementitious slurries engineered to replace compacted soil backfills. This specific innovation optimizes a low-cement mix using industrial byproducts: 30% fly ash, 50% quarry waste, and 20% concrete waste with just 3% cement. The formulation maintains a high flowability of 250 mm and is physically engineered to stay below a strict 28-day compressive strength ceiling (0.7 MPa) to ensure it can be easily dug out later using standard hand tools.</t>
  </si>
  <si>
    <t>• Self-leveling backfills for underground utility, pipe, and cable trenches
• Structural fill for abandoned underground storage tanks, mines, and basements
• Eco-friendly sub-base layers for municipal road construction and sidewalks
• Commercial formulation manufacturing for green ready-mix concrete suppliers</t>
  </si>
  <si>
    <t>Dr. Salini U</t>
  </si>
  <si>
    <t>saliniu@gmail.com</t>
  </si>
  <si>
    <t>CLSM, controlled low strength material, construction waste, fly ash, quarry waste, flowable fill, utility trench backfill</t>
  </si>
  <si>
    <t>Compact Wind Energy Solution for Residential Power Needs (2.5 kW VAWT)</t>
  </si>
  <si>
    <t>The lack of decentralized, space-efficient wind energy alternatives suitable for residential use to complement existing rooftop solar systems.</t>
  </si>
  <si>
    <t>A compact 2.5 kW Vertical Axis Wind Turbine (VAWT) designed specifically for household and small commercial deployment. Utilizing high-performance magnets imported from Germany, the prototype is optimized for a 10-meter installation height. Under favorable wind conditions, the system generates approximately 25 kWh of electricity daily, providing a highly effective, decentralized green power generation solution.</t>
  </si>
  <si>
    <t>• Residential rooftop power generation and hybrid solar-wind microgrids
• Decentralized energy systems for small commercial and agricultural facilities
• Localized hardware manufacturing, component import, and assembly businesses
• Off-grid rural electrification initiatives</t>
  </si>
  <si>
    <t>High potential for green hardware manufacturing startups, microgrid installation contractors, and localized turbine assembly entrepreneurship.</t>
  </si>
  <si>
    <t>TRL 6-7 (Pilot Testing)</t>
  </si>
  <si>
    <t>Dr. Sreejith M S</t>
  </si>
  <si>
    <t>sreejith.sankaran@gmail.com</t>
  </si>
  <si>
    <t>VAWT, vertical axis wind turbine, renewable energy, decentralized power, IRTC, residential wind, 2.5 kW</t>
  </si>
  <si>
    <t xml:space="preserve">NATPAC-05 </t>
  </si>
  <si>
    <t>Evaluation of Traffic Calming Techniques for Safer Roads</t>
  </si>
  <si>
    <t>High vehicle speeds and elevated accident rates at critical road segments such as sharp curves, commercial areas, and school zones.</t>
  </si>
  <si>
    <t>A comprehensive evaluation and regression modeling study analyzing the real-world performance of three common Traffic Calming Measures (TCMs): Speed Humps, Speed Tables, and Transverse Bar Markings (TBMs) across 21 critical locations in Kerala. Free-flow speed data extracted via drone videography and spatial tracking software (Kinovea and Data from Sky) was paired with 3-year pre- and post-implementation crash data. Multiple linear regression models prove that structural height increases speed reduction, whereas structural width decreases its efficacy.</t>
  </si>
  <si>
    <t>• Urban planning and municipal civil engineering layout designs
• National and state highway speed-management regulation updates
• Public works safety audits for school zones and dense residential centers
• Smart city traffic engineering guidelines and infrastructure deployment</t>
  </si>
  <si>
    <t>Medium potential for civil engineering consultancy firms, municipal traffic safety auditors, and public infrastructure contractors.</t>
  </si>
  <si>
    <t>Mr. Arun Chandran</t>
  </si>
  <si>
    <t>aruncpanayil@gmail.com</t>
  </si>
  <si>
    <t>traffic calming, speed tables, speed humps, transverse bar markings, road safety, crash reduction, speed dynamics, NATPAC</t>
  </si>
  <si>
    <t xml:space="preserve">NATPAC-06 </t>
  </si>
  <si>
    <t>Evaluating Road Safety Using Surrogate Measures on Two-Lane Highways</t>
  </si>
  <si>
    <t>High accident rates of motorized two-wheelers (MTWs) on congested corridors and the lack of empirical metrics to quantify near-miss collision risks before crashes occur.</t>
  </si>
  <si>
    <t>An operational and safety evaluation of dedicated, inclusive Motorized Two-Wheeler (MTW) lanes marked within standard two-lane highway carriageways (pilot-tested on the Muvattupuzha-Vengalloor stretch). The framework utilizes drone videography and GIS risk mapping paired with advanced surrogate safety metrics—specifically Time-to-Collision (TTC)—to isolate spatial conflict points (such as the Kothamangalam junction) where car-to-MTW interactions reach a critical average TTC threshold of 1.34 seconds.</t>
  </si>
  <si>
    <t>• Highway design modification guidelines and smart corridor planning
• Automated traffic conflict monitoring software for urban surveillance cameras
• Municipal traffic enforcement mapping and junction geometric restructuring
• Advanced driver assistance systems (ADAS) trained on mixed-traffic vehicle behaviors</t>
  </si>
  <si>
    <t>Medium potential for transport planning consultancies, GovTech traffic analytics providers, and spatial risk assessment startups.</t>
  </si>
  <si>
    <t>Ms. Ardra S Krishna &amp; Mr. Ebin Sam</t>
  </si>
  <si>
    <t>ardra.natpac@gmail.com</t>
  </si>
  <si>
    <t>Surrogate safety measures, MTW lanes, Time-to-Collision, traffic conflicts, GIS risk mapping, drone analysis, NATPAC</t>
  </si>
  <si>
    <t xml:space="preserve">NATPAC-07 </t>
  </si>
  <si>
    <t>High-Performance Concrete Enhanced with Hybrid Fibres (HFRHPC)</t>
  </si>
  <si>
    <t>Sudden brittle structural failures, micro-crack progression, and poor long-term durability in traditional concrete exposed to heavy traffic loads.</t>
  </si>
  <si>
    <t>A specialized concrete variant—Hybrid Fibre Reinforced High-Performance Concrete (HFRHPC)—engineered using an M35 grade baseline. The mix partially replaces standard cement with Ground Granulated Blast-Furnace Slag (GGBS) at 30%, 50%, and 70% ratios to densify the matrix. It introduces an optimized multi-scale hybrid reinforcement system combining micro-polypropylene and macro-polypropylene fibers that work across different dimensional scales to arrest crack formation.</t>
  </si>
  <si>
    <t>• Long-lasting overlay systems (white-topping) for heavy-traffic highways and urban intersections
• High-strength precast panels, retaining structures, and prestressed civil elements
• Structural repair, high-durability retrofitting, and rehabilitation of aging infrastructure
• Specialty ready-mix concrete formulations for demanding architectural and marine environments</t>
  </si>
  <si>
    <t>High potential for specialized concrete admixture companies, green building material startups, and advanced structural repair contractors.</t>
  </si>
  <si>
    <t>Dr. Himasree P R</t>
  </si>
  <si>
    <t>himasree.natpac@gmail.com</t>
  </si>
  <si>
    <t>HFRHPC, high performance concrete, hybrid fibers, GGBS, polypropylene fibers, crack resistance, cement replacement, NATPAC</t>
  </si>
  <si>
    <t>Plant Authentication Service</t>
  </si>
  <si>
    <t>Service/Consultancy, Process/Method</t>
  </si>
  <si>
    <t>Widespread misidentification and intentional adulteration of raw botanical materials in supply chains, compromising the safety and efficacy of final pharmaceutical and herbal products.</t>
  </si>
  <si>
    <t>A highly rigorous morphological plant authentication service that confirms species identity through meticulous observation of external (macroscopic) and internal (microscopic) traits. Before relying on expensive molecular tools, this traditional yet scientifically validated method cross-references physical traits against established herbarium specimens and taxonomic keys to guarantee botanical authenticity.</t>
  </si>
  <si>
    <t>• Quality control and raw material validation for pharmaceutical and Ayurveda manufacturing
• Supply chain traceability for commercial cosmetics and nutraceutical botanical extracts
• Regulatory compliance documentation for international seed and live-plant trade
• Agricultural consulting for invasive species identification and crop variety selection</t>
  </si>
  <si>
    <t>Medium potential for B2B botanical quality assurance laboratories and supply-chain auditing consultancies.</t>
  </si>
  <si>
    <t>Commercial Service</t>
  </si>
  <si>
    <t>Director, MBGIPS</t>
  </si>
  <si>
    <t>directormbgips@gmail.com</t>
  </si>
  <si>
    <t>plant authentication, morphological authentication, quality control, botanical extracts, taxonomy, misidentification, adulterants, MBGIPS</t>
  </si>
  <si>
    <t xml:space="preserve">KFRI-11 </t>
  </si>
  <si>
    <t>DNA Tools for Timber Forensics (DNA Barcoding &amp; Fingerprinting)</t>
  </si>
  <si>
    <t>Rampant illegal timber extraction, species adulteration in supply chains, and the lack of conclusive, tamperproof evidence to trace confiscated wood back to its origin in judicial proceedings.</t>
  </si>
  <si>
    <t>A pioneering forensic service utilizing a comprehensive DNA barcode reference database to verify species identity in wood and non-wood forest products. For localized theft cases, the facility employs advanced genome-wide DNA fingerprinting to genetically match confiscated logs directly to their exact source stumps, providing indisputable evidence for law enforcement and courts.</t>
  </si>
  <si>
    <t>• Judicial forensics and evidence verification for law enforcement and forest departments
• Global trade compliance and certification auditing (e.g., FSC, EUTR)
• Supply chain transparency for commercial timber and furniture industries
• Environmental conservation and anti-poaching initiatives</t>
  </si>
  <si>
    <t>Medium potential for specialized forensic biotech laboratories, sustainable trade auditing firms, and supply chain traceability startups.</t>
  </si>
  <si>
    <t>Commercial Service (Proven in 20+ cases)</t>
  </si>
  <si>
    <t>Dr. Suma Arun Dev</t>
  </si>
  <si>
    <t>sumadev@kfri.res.in</t>
  </si>
  <si>
    <t>DNA barcoding, timber forensics, genetic fingerprinting, illegal logging, traceability, FSC, KFRI, supply chain</t>
  </si>
  <si>
    <t xml:space="preserve">JNTBGRI-06 </t>
  </si>
  <si>
    <t>JNTBGRI's Eco-Tourism: Nature, Knowledge, and Conservation</t>
  </si>
  <si>
    <t>Service/Consultancy</t>
  </si>
  <si>
    <t>The degradation of sensitive biological habitats caused by conventional high-impact tourism, and the marginalization of local traditional ecological knowledge.</t>
  </si>
  <si>
    <t>An immersive, low-impact eco-tourism model operating across 325 acres of protected forests and wetlands, developed in partnership with Kerala Tourism Infrastructure Limited (KTIL). The initiative replaces passive sightseeing with "Biodiversity Tourism," offering guided canopy walks, thematic trails, and interactive Augmented Reality (AR) exhibits. It actively involves local communities as land stewards and storytellers, integrating Citizen Science initiatives into the visitor experience.</t>
  </si>
  <si>
    <t>• Blueprint for state and national wildlife sanctuary management plans
• Sustainable hospitality and low-impact eco-resort development
• Environmental education programs for academic institutions and universities
• Integration platforms for nature-based augmented reality (AR) software</t>
  </si>
  <si>
    <t>High potential for eco-tourism operators, AR/digital heritage guide startups, and sustainable rural hospitality ventures.</t>
  </si>
  <si>
    <t>Operational Service</t>
  </si>
  <si>
    <t>Rajendra Prasad</t>
  </si>
  <si>
    <t>rajendraprasadvkm@gmail.com</t>
  </si>
  <si>
    <t>ecotourism, JNTBGRI, KTIL, biodiversity tourism, canopy walks, citizen science, phenology, augmented reality, sustainable livelihood</t>
  </si>
  <si>
    <t xml:space="preserve">JNTBGRI-07 </t>
  </si>
  <si>
    <t>Bamboo Innovation Hub: Art, Ecology, and Enterprise (Bamboo Crafts)</t>
  </si>
  <si>
    <t>Unemployment among rural youth/women, the marginalization of traditional artisanal skills, and the underutilization of highly renewable local bamboo resources.</t>
  </si>
  <si>
    <t>A Bamboo Craft Centre operating as a Common Facility Centre under the National Bamboo Mission. It provides hands-on skill development for rural communities to manufacture eco-friendly, value-added bamboo products (souvenirs, home decor). The initiative is vertically integrated, utilizing sustainably harvested poles from JNTBGRI's 20-acre Bamboo Conservatory (housing 1,200+ accessions) while offering downstream marketing, branding, and retail support.</t>
  </si>
  <si>
    <t>• Sustainable FMCG lifestyle products and home decor manufacturing
• Rural micro-enterprise and artisan cooperative society development
• Eco-tourism souvenirs and premium corporate gifting
• Commercial sustainable raw material supply chain management</t>
  </si>
  <si>
    <t>High potential for rural artisan cooperatives, eco-friendly craft brands, and sustainable interior design startups.</t>
  </si>
  <si>
    <t>Dr. Jothish P S &amp; Dr. B Gopakumar</t>
  </si>
  <si>
    <t>jothishtbgri@gmail.com</t>
  </si>
  <si>
    <t>Bamboo crafts, National Bamboo Mission, skill development, rural empowerment, JNTBGRI, eco-friendly products, sustainable enterprise</t>
  </si>
  <si>
    <t xml:space="preserve">STIC-01 </t>
  </si>
  <si>
    <t>Testing and Calibration Services for Instruments, Food, Water &amp; Materials</t>
  </si>
  <si>
    <t>KSCSTE - Sophisticated Test and Instrumentation Centre (STIC)</t>
  </si>
  <si>
    <t>The lack of accessible, high-end analytical equipment and NABL-accredited calibration services for regional manufacturing, academic research, and public health sectors.</t>
  </si>
  <si>
    <t>A comprehensive analytical and calibration service hub. STIC operates a DST-supported Sophisticated Analytical Instrument Facility (SAIF) alongside NABL-accredited electro-technical, thermal, and mechanical calibration labs. Furthermore, it houses dedicated KSCSTE-supported food and water testing labs. Beyond raw testing, the center offers active capacity-building training programs and highly specialized technical consultancy for aerospace and defense technologies.</t>
  </si>
  <si>
    <t>• Industrial quality control and manufacturing equipment calibration
• Public health compliance for municipal water and commercial food products
• Corporate R&amp;D and academic research material analysis
• Technical consultancy and part-testing for aerospace/defense contractors</t>
  </si>
  <si>
    <t>Low (Acts as an institutional B2B service provider rather than a spin-out startup)</t>
  </si>
  <si>
    <t>Dr. M. Gopalakrishna Pillai</t>
  </si>
  <si>
    <t>director@stcindia.com</t>
  </si>
  <si>
    <t>calibration, STIC, analytical services, NABL, food testing, water testing, sophisticated instruments, aerospace consultancy, CUSAT</t>
  </si>
  <si>
    <t xml:space="preserve">KFRI-12 </t>
  </si>
  <si>
    <t>Reviving Native Ecosystems: A Sustainable Restoration Initiative</t>
  </si>
  <si>
    <t>Soil degradation, severe groundwater depletion, loss of biodiversity, and diminished carbon sequestration capacities caused by historic, exotic monoculture plantations (e.g., Acacia, Eucalyptus).</t>
  </si>
  <si>
    <t>A comprehensive, site-specific eco-restoration methodology developed to convert ecologically damaging exotic monoculture plantations back into high-functioning native ecosystems. The framework utilizes field-level ecological data assessments to design a phased, structured removal of invasive exotic species, paired with the strategic reintroduction of native vegetation that balances biodiversity recovery with local socio-economic value.</t>
  </si>
  <si>
    <t>• Forest department frameworks for converting commercial state timber plantations
• Watershed management and groundwater replenishment programs in forest fringe zones
• Large-scale corporate ESG carbon offset and biodiversity restoration initiatives
• Environmental impact mitigation and green-belt planning for public land-use agencies</t>
  </si>
  <si>
    <t>Medium potential for specialized ecological consulting firms, environmental remediation contractors, and native silviculture nurseries.</t>
  </si>
  <si>
    <t>Dr. Sreekumar V B &amp; Dr. Sreejith K A</t>
  </si>
  <si>
    <t>eco-restoration, monoculture plantations, Acacia, native ecosystems, biodiversity conservation, forestry management, groundwater depletion, KFRI</t>
  </si>
  <si>
    <t xml:space="preserve">MBGIPS-04 </t>
  </si>
  <si>
    <t>EcoScape Solution - For Urban &amp; Rural Land Use</t>
  </si>
  <si>
    <t>Degradation of urban and rural spaces, rising urban heat island effects, topsoil erosion, and the ecological burden of high-maintenance, non-native decorative landscaping.</t>
  </si>
  <si>
    <t>An innovative, ecological landscaping service designed to transform underutilized spaces into climate-resilient green infrastructure. The service moves beyond aesthetic beautification by integrating drought-tolerant native species, vertical gardens, and groundcover planting. It emphasizes sustainable lifecycle management through smart irrigation, organic mulching, and eco-friendly construction materials to minimize resource consumption.</t>
  </si>
  <si>
    <t>• Smart City urban renewal and municipal park development
• Green infrastructure for institutional campuses and corporate IT parks
• Roadside green belts and ecological restoration of waterbody peripheries
• Heritage zone beautification and eco-tourism landscape planning</t>
  </si>
  <si>
    <t>Medium potential for specialized ecological landscaping consultancies, urban greening contractors, and smart-city landscape architecture firms.</t>
  </si>
  <si>
    <t>EcoScape, landscaping, urban greening, biodiversity, vertical gardens, smart irrigation, soil erosion, sustainable development, MBGIPS</t>
  </si>
  <si>
    <t>DNA Vaccine Platform for Emerging Viruses</t>
  </si>
  <si>
    <t>Product/Device, Material/Formulation</t>
  </si>
  <si>
    <t>Escalding public health threats from multi-viral coinfections in tropical regions, combined with the instability and high distribution costs (cold-chain dependencies) of conventional vaccines.</t>
  </si>
  <si>
    <t>A bivalent DNA vaccine platform engineered to deliver broad-spectrum protective immunity against two distinct viral pathogens via a single, combined formulation. The platform incorporates a specialized, in-house liposome-based lipid encapsulation formulation that protects the DNA payload, facilitates targeted cellular uptake, and enhances overall immunogenicity without the need for traditional viral vectors.</t>
  </si>
  <si>
    <t>• Multivalent vaccines for tropical co-circulating viruses (e.g., Dengue, Chikungunya, Zika)
• Rapid-response vaccine manufacturing pipelines for emerging pandemic threats
• Custom liposomal encapsulation formulations for targeted genetic cargo delivery
• Low-cost veterinary multi-pathogen inoculation programs</t>
  </si>
  <si>
    <t>High potential for biotech spin-offs specializing in nucleic acid therapeutics, contract research organizations (CROs), and next-generation vaccine developers.</t>
  </si>
  <si>
    <t>TRL 4 (In Vivo Evaluation Stage)</t>
  </si>
  <si>
    <t>Dr. Anismrita Lahon</t>
  </si>
  <si>
    <t>anismrita@iav.res.in</t>
  </si>
  <si>
    <t>DNA vaccine, bivalent platform, liposome encapsulation, coinfections, emerging viruses, immunogenicity, IAV</t>
  </si>
  <si>
    <t>Antiviral Screening for Dengue &amp; Chikungunya</t>
  </si>
  <si>
    <t>The lack of highly standardized, accessible biocontainment facilities to rapidly test and validate new drug compounds against dangerous mosquito-borne tropical viruses.</t>
  </si>
  <si>
    <t>A comprehensive Viral Bioassay Facility offering commercial antiviral screening services for Dengue and Chikungunya. The facility relies on the gold-standard Plaque Reduction Neutralization Test (PRNT). Client compounds (synthetic or natural) are tested via an 8-point serial dilution to quantify their exact capacity to stop viral cell infection. The facility calculates precise IC50 values, enabling rapid benchmarking of new drug candidates.</t>
  </si>
  <si>
    <t>• Early-stage pre-clinical drug discovery pipelines for pharmaceutical firms
• Validation of bioactive compounds extracted from natural products and Ayurveda
• Academic and corporate R&amp;D testing for novel antiviral therapeutics
• Contract research for molecular biology and bio-defense organizations</t>
  </si>
  <si>
    <t>Low (Operates as an institutional B2B core facility supporting external drug discovery rather than a spin-out startup)</t>
  </si>
  <si>
    <t>Dr. E. Sreekumar</t>
  </si>
  <si>
    <t>esreekumar@iav.res.in</t>
  </si>
  <si>
    <t>antiviral screening, Dengue, Chikungunya, PRNT, IC50, drug discovery, viral bioassay, IAV</t>
  </si>
  <si>
    <t xml:space="preserve">JNTBGRI-08 </t>
  </si>
  <si>
    <t>Molecular Tools for Authentication of Plant Varieties</t>
  </si>
  <si>
    <t>The unreliability of visual plant identification caused by environmental changes, and the rampant agricultural fraud involving genetically impure or mislabeled commercial seeds.</t>
  </si>
  <si>
    <t>A high-precision DNA fingerprinting and genotyping service for plant varietal identification. The methodology utilizes advanced molecular marker technologies—including Simple Sequence Repeats (SSRs) and Single Nucleotide Polymorphisms (SNPs)—to detect DNA-level variations. It provides a standardized, environment-independent genetic profile used to certify seed purity, manage germplasm diversity, and legally enforce Plant Breeders' Rights.</t>
  </si>
  <si>
    <t>• Commercial seed certification and agricultural quality assurance boards
• IP protection and legal enforcement for proprietary agricultural breeders
• Commercial nurseries and high-value crop cultivation (e.g., spices, cash crops)
• Global agricultural supply chain traceability and anti-fraud auditing</t>
  </si>
  <si>
    <t>Medium potential for specialized agritech testing laboratories, genetic auditing consultancies, and crop IP law firms.</t>
  </si>
  <si>
    <t>Dr. Sabu K K</t>
  </si>
  <si>
    <t>sabuknair@gmail.com</t>
  </si>
  <si>
    <t>varietal identification, molecular markers, DNA fingerprinting, SSRs, SNPs, seed certification, Plant Breeders' Rights, agriculture, JNTBGRI</t>
  </si>
  <si>
    <t xml:space="preserve">CoEN-01 </t>
  </si>
  <si>
    <t>The Centre of Excellence in Nutraceuticals (CoEN) Services &amp; Formulations</t>
  </si>
  <si>
    <t>Service/Consultancy, Material/Formulation</t>
  </si>
  <si>
    <t>The lack of scientific validation, standardized efficacy testing, and optimized bioavailability for traditional herbal and ethnomedicinal remedies.</t>
  </si>
  <si>
    <t>A premier research hub dedicated to the scientific validation and commercialization of natural bioactive compounds. CoEN offers end-to-end services in product formulation, standardization, toxicity analysis, and regulatory compliance. The center is currently developing standardized, evidence-backed products like a 10-plant 'Dasapushpam' polyherbal mix for immune resilience, and a synergistic 'Manjal-Kurumulak' (Turmeric-Black Pepper) capsule designed to drastically enhance curcumin absorption.</t>
  </si>
  <si>
    <t>• R&amp;D and commercialization for Ayurveda and traditional medicine brands
• Dietary supplement and functional food manufacturing
• Maternal and pediatric wellness product lines
• Contract research for toxicity, efficacy, and regulatory compliance testing</t>
  </si>
  <si>
    <t>High potential for wellness and dietary supplement startups, polyherbal FMCG brands, and biotech formulation spin-offs.</t>
  </si>
  <si>
    <t>Dr. Ruby John Anto</t>
  </si>
  <si>
    <t>cs.coen@kerala.gov.in</t>
  </si>
  <si>
    <t>Nutraceuticals, CoEN, bioactive compounds, Dasapushpam, Turmeric, Black Pepper, curcumin, piperine, traditional medicine, bioavailability</t>
  </si>
  <si>
    <t>Recirculatory Aquaculture System (RAS) with Aquaponics &amp; MBBR</t>
  </si>
  <si>
    <t>Service/Consultancy, Device/Equipment</t>
  </si>
  <si>
    <t>High water consumption, land constraints, and severe organic waste pollution associated with traditional open-pond fish farming and conventional agriculture.</t>
  </si>
  <si>
    <t>A deployable, closed-loop Recirculatory Aquaculture System (RAS) integrated with Aquaponics and Moving Bed Bio-Reactor (MBBR) technology. The system pumps nutrient-rich wastewater from high-density fish tanks into soilless vegetable grow beds, where plants naturally filter the water before it recirculates (saving 90% of water). The infrastructure includes a 2 m³ biogas unit that digests sludge to produce cooking gas, and an optional greywater-only variant for urban environments.</t>
  </si>
  <si>
    <t>• Turnkey commercial urban farming and rooftop agriculture installations
• High-density organic fish and vegetable production for local markets
• Institutional deployment for schools, eco-resorts, and community housing
• Greywater recycling and decentralized municipal waste-to-value systems</t>
  </si>
  <si>
    <t>High potential for urban farming installation contractors, circular-economy agritech startups, and organic food supply chains.</t>
  </si>
  <si>
    <t>TRL 8-9</t>
  </si>
  <si>
    <t>Prof. B.M. Musthafa</t>
  </si>
  <si>
    <t>musthafachittur@rediffmail.com</t>
  </si>
  <si>
    <t>RAS, aquaponics, MBBR, biogas, urban farming, zero-waste, sustainable agriculture, greywater, IRTC</t>
  </si>
  <si>
    <t xml:space="preserve">KFRI-13 </t>
  </si>
  <si>
    <t>Native Plant-Based Riverbank Restoration Techniques (Bioengineering)</t>
  </si>
  <si>
    <t>Process/Method, Service/Consultancy</t>
  </si>
  <si>
    <t>Severe stream bank erosion, ecological degradation of riparian zones, and the high financial and environmental costs of using conventional concrete retaining walls.</t>
  </si>
  <si>
    <t>A nature-based bioengineering methodology for stream bank stabilization utilizing fast-growing, native riparian vegetation. The technique leverages natural plant root architecture to reinforce soil mechanics, mitigate surface runoff, and control erosion. It replaces expensive, ecologically damaging concrete structures with self-sustaining green infrastructure that simultaneously supports local food and fodder needs.</t>
  </si>
  <si>
    <t>• Municipal riverbank and watershed management boards
• Flood mitigation and disaster risk reduction programs
• Eco-restoration consulting and green infrastructure contracting
• Sustainable agriculture and rural land development near waterways</t>
  </si>
  <si>
    <t>Medium potential for eco-landscaping firms, native plant nurseries, and environmental consulting agencies.</t>
  </si>
  <si>
    <t>Dr. S Sandeep &amp; Dr. Wable Pawan Shyamrao</t>
  </si>
  <si>
    <t>bioengineering, stream bank stabilization, riverbank restoration, native plants, riparian zones, erosion control, KFRI, eco-restoration</t>
  </si>
  <si>
    <t>Forecasting Viral Outbreaks Using AI &amp; Climate Data</t>
  </si>
  <si>
    <t>Fast-spreading viral fevers exacerbated by climate change, and the reactive (rather than proactive) nature of public health responses to unpredictable vector-borne outbreaks.</t>
  </si>
  <si>
    <t>An AI-powered computational predictive model that maps the transmission dynamics of emerging viral infections. The system ingests real-time epidemiological records alongside live environmental datasets—including temperature, humidity, rainfall, and vector (mosquito) density. It utilizes machine learning algorithms to process these complex variables, forecasting outbreak likelihoods, identifying high-risk geographic zones, and revealing hidden seasonal trends.</t>
  </si>
  <si>
    <t>• Municipal public health departments for targeted disease surveillance
• Smart city health dashboards and early warning systems
• Targeted deployment of urban vector control resources (e.g., mosquito fogging)
• Epidemiological research and pandemic preparedness task forces</t>
  </si>
  <si>
    <t>High potential for HealthTech predictive analytics startups and GovTech software integrators.</t>
  </si>
  <si>
    <t>Not Specified (In Development)</t>
  </si>
  <si>
    <t>Dr. Abhinand C S</t>
  </si>
  <si>
    <t>abhinandcs@iav.res.in</t>
  </si>
  <si>
    <t>AI forecasting, viral outbreaks, machine learning, climate data, epidemiology, vector-borne diseases, public health, IAV</t>
  </si>
  <si>
    <t>Multi-Criteria Decision System for Streamlining Urban Mobility</t>
  </si>
  <si>
    <t>Digital Technology (Software/App), Process/Method</t>
  </si>
  <si>
    <t>Massive operational losses in state transit systems (e.g., KSRTC) caused by uneconomical routes, low network navigability, and a lack of dynamic demand-responsive scheduling.</t>
  </si>
  <si>
    <t>A multi-criteria, graph-theoretical optimization system that models public transit networks as weighted directed graphs. The system incorporates inter-stop spatial distances and real-time Electronic Ticket Machine (ETM) passenger flow data into a weight matrix. It runs advanced topological centrality measures to pinpoint critical transit hubs, map structural redundancy, and optimize route frequencies, bypass options, and dynamic headways.</t>
  </si>
  <si>
    <t>• State and municipal road transport corporations (e.g., KSRTC) for route restructuring
• Smart City command centers for dynamic traffic and transit management
• Urban planning consulting firms designing future public transport networks
• Private fleet operators and logistics companies looking for routing efficiency</t>
  </si>
  <si>
    <t>High potential for GovTech SaaS platforms, intelligent transportation systems (ITS) startups, and urban mobility optimization software.</t>
  </si>
  <si>
    <t>Not Specified (Research Study / Framework)</t>
  </si>
  <si>
    <t>Dr. Anila Cyril</t>
  </si>
  <si>
    <t>anilacyril.natpac@gmail.com</t>
  </si>
  <si>
    <t>urban mobility, graph theory, centrality measures, KSRTC, network optimization, L-space, P-space, public transit, NATPAC</t>
  </si>
  <si>
    <t>Autonomous AI-Powered Drone for Disaster Response &amp; Search Operations</t>
  </si>
  <si>
    <t>Product/Device, Software/App</t>
  </si>
  <si>
    <t>Delayed response times, high risks to human rescuers, and the total inability to navigate or locate survivors in GPS-denied, hazard-choked disaster zones.</t>
  </si>
  <si>
    <t>An AI-powered autonomous UAV system engineered for search and rescue (SAR) operations in challenging terrains (floods, earthquakes, landslides). The drone integrates advanced computer vision (YOLO/CNN) for real-time human and thermal anomaly detection with edge-computed LiDAR and SLAM technologies for autonomous flight in indoor or GPS-denied zones. It includes a physical mechanism to drop survival payloads (first-aid, food) and supports swarm coordination.</t>
  </si>
  <si>
    <t>• Emergency response and search &amp; rescue (SAR) for NDRF, state SDRFs, and military units
• Post-disaster structural damage assessment for municipal bodies and insurance firms
• Autonomous medical and emergency supply delivery to isolated terrain
• High-resolution topological mapping and boundary security for forestry and defense</t>
  </si>
  <si>
    <t>High potential for dual-use defense/civilian drone startups, automated emergency logistics platforms, and specialized ruggedized UAV manufacturers.</t>
  </si>
  <si>
    <t>TRL 4 (Prototype Validation Stage)</t>
  </si>
  <si>
    <t>Mr. Sreeraj P</t>
  </si>
  <si>
    <t>sreeraj1293@gmail.com</t>
  </si>
  <si>
    <t>autonomous drone, disaster response, search and rescue, YOLO, SLAM, LiDAR, payload delivery, drone swarm, IRTC</t>
  </si>
  <si>
    <t xml:space="preserve">KSCSTE-ISD-01 </t>
  </si>
  <si>
    <t>Unified Digital Platform for Carbon Credit Estimation &amp; Reporting</t>
  </si>
  <si>
    <t>Fragmented, complex, and expensive carbon accounting mechanisms that prevent local communities, LSGIs, and small entrepreneurs from tracking emissions or unlocking climate finance.</t>
  </si>
  <si>
    <t>A state-level unified digital portal that democratizes carbon accounting by deploying open-source, scientifically validated tools built on IPCC methodologies. The platform features localized, real-time calculators across five primary sectors: agriculture, forestry, energy, industry, and waste. It generates dynamic, traceable PDF/Excel compliance reports, calculates structural tree-planting offset metrics, and provides district-wide aggregation for green credit mobilization.</t>
  </si>
  <si>
    <t>• Local Self-Government Institutions (LSGIs) for carbon-neutral panchayat audits
• MSMEs and climate entrepreneurs applying for international Green Credits
• NGOs and educational institutions executing accredited afforestation tracking
• State-level policy planning bodies structuring climate finance readiness frameworks</t>
  </si>
  <si>
    <t>High potential for climate-tech B2B/B2G SaaS platforms, carbon project development consultancies, and green auditing software.</t>
  </si>
  <si>
    <t>Operational Portal / TRL 8-9</t>
  </si>
  <si>
    <t>Dr. Sabarish K</t>
  </si>
  <si>
    <t>isdkscste@gmail.com</t>
  </si>
  <si>
    <t>carbon credit, carbon estimation, IPCC methodology, climate finance, emission factors, carbon offset, GovTech, KSCSTE</t>
  </si>
  <si>
    <t>Specialized Water Resource and Environmental Services</t>
  </si>
  <si>
    <t>The lack of localized hydro-geological data, precise contaminant tracing, accredited environmental impact data, and standardized water budgeting frameworks for industrial, municipal, and agricultural governance.</t>
  </si>
  <si>
    <t>A comprehensive suite of analytical, field-based, and modeling services for advanced water resource and environmental management. Services include 1D/2D electrical resistivity tomography for aquifer profiling, stable isotope analysis ($^1\text{H}$, $^2\text{H}$, $^{18}\text{O}$, $^{13}\text{C}$) for environmental forensics, NABET-accredited Environmental Impact Assessments (EIA), groundwater transport modeling, automated water budgeting guidelines, and rigorous chemical/microbiological water and soil testing.</t>
  </si>
  <si>
    <t>• Local Self-Government Institutions (LSGIs) for community water budgeting plans
• Infrastructure developers requiring structural bedrock mapping and EIA clearances
• Industrial bodies tracking effluent plume paths and groundwater contaminants
• Agricultural and watershed boards managing irrigation capacities and soil health</t>
  </si>
  <si>
    <t>Medium potential for environmental consulting consultancies, commercial geomatics and hydrological surveying startups.</t>
  </si>
  <si>
    <t>Commercial Services / TRL 9</t>
  </si>
  <si>
    <t>Not Applicable (Institutional Services)</t>
  </si>
  <si>
    <t>Dr. Manoj P. Samuel</t>
  </si>
  <si>
    <t>manojpsamuel@gmail.com</t>
  </si>
  <si>
    <t>water quality, stable isotope analysis, electrical resistivity tomography, groundwater modelling, environmental impact assessment, water budgeting, CWRDM</t>
  </si>
  <si>
    <t>Decision Support System for Technology Valuation</t>
  </si>
  <si>
    <t>The complexity, ambiguity, and lack of standardized frameworks for accurately calculating the financial value of newly developed scientific technologies and IP for commercialization.</t>
  </si>
  <si>
    <t>A sophisticated Decision Support System (DSS) algorithm designed to value intellectual assets and patents developed in public research institutions. The software synthesizes variables like development costs, market conditions, and future cash flows to compute a fair commercial value. It features a custom matrix for fixing royalty ranges and automatically fetches default macroeconomic data (depreciation, bank rates) if specific inputs are missing, outputting a comprehensive PDF valuation report.</t>
  </si>
  <si>
    <t>• Technology Transfer Offices (TTOs) negotiating licensing deals with startups
• Corporate R&amp;D strategic planning and technology pricing
• Financial securitization, IP taxation, and venture capital auditing
• Legal settlements for patent infringement lawsuits</t>
  </si>
  <si>
    <t>Low (Functions as an institutional administrative tool for internal tech-transfer rather than a consumer spin-off)</t>
  </si>
  <si>
    <t>Operational Software</t>
  </si>
  <si>
    <t>DSS, technology valuation, IP valuation, intellectual property, royalty rate, commercialization, tech transfer, CWRDM</t>
  </si>
  <si>
    <t>Institution</t>
  </si>
  <si>
    <t>institution logo url</t>
  </si>
  <si>
    <t xml:space="preserve">location &amp; website link </t>
  </si>
  <si>
    <t>District</t>
  </si>
  <si>
    <t>website</t>
  </si>
  <si>
    <t>https://drive.google.com/file/d/1jpdHQYrpBDSITQhqSBWmTcifJiyU3MIy/view?usp=drive_link</t>
  </si>
  <si>
    <t>Kasaragod</t>
  </si>
  <si>
    <t>https://drive.google.com/file/d/1Am4C5VhZzEmghGUBIm6IWTYEARMODUz3/view?usp=drive_link</t>
  </si>
  <si>
    <t>Thiruvananthapuram</t>
  </si>
  <si>
    <t>https://drive.google.com/file/d/1exmDZrcWTCB5dYCSvmpGhpjVkgSwFjE1/view?usp=drive_link</t>
  </si>
  <si>
    <t>https://drive.google.com/file/d/1X_YAZrD22Uis7LwjB3lVJi813706BTZN/view?usp=drive_link</t>
  </si>
  <si>
    <t>Ernakulam</t>
  </si>
  <si>
    <t>https://drive.google.com/file/d/14B7e0U1cBlZlnU7h6yKt1GV7X-X13WoP/view?usp=drive_link</t>
  </si>
  <si>
    <t>Thrissur</t>
  </si>
  <si>
    <t>https://drive.google.com/file/d/1pIWEstPzEicirKPe2pPYK7Fh9Dp6cLH3/view?usp=drive_link</t>
  </si>
  <si>
    <t>Kozhikode</t>
  </si>
  <si>
    <t>https://drive.google.com/file/d/1s0hHdYHmgJiI5aDa2-RLEy3HcL3fkbxo/view?usp=drive_link</t>
  </si>
  <si>
    <t>https://drive.google.com/file/d/16TkMwP6QIbtevQ6RyAXQs86-k_VN50i6/view?usp=drive_link</t>
  </si>
  <si>
    <t>https://drive.google.com/file/d/1m53m-7xGB0nk4mnzwnPPdH0fSpBbCEx-/view?usp=drive_link</t>
  </si>
  <si>
    <t>Kannur</t>
  </si>
  <si>
    <t>https://drive.google.com/file/d/1K8kO4n5YYtwInqIiq72eyUuhYQFDvn3p/view?usp=drive_link</t>
  </si>
  <si>
    <t>https://drive.google.com/file/d/14ijWwYq1iANIboJD6Hmr4-dIe9nDANHz/view?usp=drive_link</t>
  </si>
  <si>
    <t>https://drive.google.com/file/d/1MsHIIRz4BitgfPYrnrlElmME5-PTXkCh/view?usp=drive_link</t>
  </si>
  <si>
    <t>https://drive.google.com/file/d/1P1g42ST6ak__SWBd1r2su_K-EFJu6bGh/view?usp=drive_link</t>
  </si>
  <si>
    <t>Kottayam</t>
  </si>
  <si>
    <t>Palakkad</t>
  </si>
  <si>
    <t>primary_sector</t>
  </si>
  <si>
    <t>secondary_sector</t>
  </si>
  <si>
    <t>applications_&amp;_industry_standard</t>
  </si>
  <si>
    <t>investment_required</t>
  </si>
  <si>
    <t>institution_website</t>
  </si>
  <si>
    <t>institution_logo_url</t>
  </si>
  <si>
    <t>key_benefits_&amp;_value_proposition</t>
  </si>
  <si>
    <t>Forestry &amp; Biodiversity , Pharmaceuticals &amp; Nutraceuticals</t>
  </si>
  <si>
    <t>Not Provided</t>
  </si>
  <si>
    <t>www.mbgips.in</t>
  </si>
  <si>
    <t>• Secures long-term viability and successful post-thaw recovery of pollen and spores
• Ensures genetic stability of high-value medicinal and ornamental plants
• Provides scalable solutions for consistent input to herbal and wellness industries</t>
  </si>
  <si>
    <t>Consumer Goods &amp; Crafts, Rural Livelihoods &amp; Skill Development, Forestry &amp; Biodiversity</t>
  </si>
  <si>
    <t>www.kfri.res.in</t>
  </si>
  <si>
    <t>• Prevents damage to the vascular cambium, promoting natural tree regeneration
• Reduces physical strain on harvesting workers compared to manual chiseling
• Improves the consistency of bark yield compared to traditional methods</t>
  </si>
  <si>
    <t>Consumer Goods &amp; Crafts, Pharmaceuticals &amp; Nutraceuticals</t>
  </si>
  <si>
    <t>• Preserves essential photoactives and floral aromas using gentle drying techniques
• Contains zero caffeine or synthetic additives
• Provides natural color and rich anthocyanin content from Clitoria ternatea
• Available in ready-to-use tea bags for immediate consumer use</t>
  </si>
  <si>
    <t>Genetic &amp; Molecular Research Tools, Crop Protection &amp; Disease Management, Forestry &amp; Biodiversity</t>
  </si>
  <si>
    <t>• Enables field-deployable, rapid detection of Sandalwood Spike Disease
• Provides 100x greater sensitivity than traditional PCR methods
• Identifies the disease in both symptomatic and asymptomatic trees, insect vectors, and reservoir hosts</t>
  </si>
  <si>
    <t>GIS &amp; Geospatial Systems, Soil Health &amp; Fertility, Water Resource Management</t>
  </si>
  <si>
    <t>www.cwrdm.kerala.gov.in</t>
  </si>
  <si>
    <t>• Provides instant, hyperlocal erosion risk levels from low to very high at the Panchayat level
• Offers customized mitigation suggestions like vegetative cover, contour bunds, and drainage structures
• Integrates specific local data on rainfall, land use, and topography unlike generic national models
• Freely accessible online without requiring login or specialized software</t>
  </si>
  <si>
    <t>Forestry &amp; Biodiversity , Pharmaceuticals &amp; Nutraceuticals, Genetic &amp; Molecular Research Tools</t>
  </si>
  <si>
    <t>www.jntbgri.res.in</t>
  </si>
  <si>
    <t>• Delivers high-quality, disease-free, and true-to-type planting material
• Enables scalable mass propagation of rare, high-value, and endangered plant species
• Provides a sustainable solution to meet the growing global demand for clean planting stock</t>
  </si>
  <si>
    <t>Forestry &amp; Biodiversity , GIS &amp; Geospatial Systems,  Environmental Governance &amp; Planning</t>
  </si>
  <si>
    <t>• Demonstrates high predictive accuracy with an AUC ratio of 1.6 and robust validation metrics (Kappa, TSS)
• Expands potential conservation areas by locating highly suitable zones (2,393 km²) far exceeding the current restricted baseline (283 km²)
• Delivers actionable, field-verified telemetry data pinpointing ten concrete translocation sites across the southern Western Ghats</t>
  </si>
  <si>
    <t>Waste Management &amp; Sanitation, Water Resource Management, Biotechnology &amp; Life Sciences</t>
  </si>
  <si>
    <t>• Achieves 92-94% COD removal rates for high initial concentrations up to 2800 mg/L
• Reaches maximum organic matter decomposition rapidly within a four-hour window
• Mitigates common operational drawbacks by lowering sludge volume index and minimizing overall sludge production</t>
  </si>
  <si>
    <t>Water Resource Management, Climate &amp; Hydrological Monitoring Tools</t>
  </si>
  <si>
    <t>• Eliminates sample cross-contamination across collection intervals through inert construction materials
• Minimizes field power demands via an automatic shut-off capability when rainfall stops
• Enables high-resolution, user-defined interval configurations tailored for varied research scopes</t>
  </si>
  <si>
    <t>Waste Management &amp; Sanitation, Climate Action &amp; Carbon Sequestration, Soil Health &amp; Fertility</t>
  </si>
  <si>
    <t>• Implements a high-permanence carbon sink that stabilizes carbon in soil for hundreds of years
• Maximizes nutrient retention and water-holding capacity via an intensely porous structural profile
• Turns a regional biomass waste stream into a high-value resource for climate and agriculture</t>
  </si>
  <si>
    <t>Forestry &amp; Biodiversity , Waste Management &amp; Sanitation</t>
  </si>
  <si>
    <t>• Eliminates single-use plastics entirely from forest and commercial nursery operations
• Permits direct planting to minimize transplant shock and field root damage
• Promotes local employment and adds economic value to agricultural coconut husk waste streams</t>
  </si>
  <si>
    <t>Consumer Goods &amp; Crafts, Rural Livelihoods &amp; Skill Development</t>
  </si>
  <si>
    <t>• Provides fully eco-friendly and functional consumer products like yoga mats and carpets
• Preserves culturally significant indigenous creativity and traditional knowledge
• Secured the UNESCO CCI Seal of Excellence for outstanding craftsmanship
• Empowers local artisan communities through increased market visibility via GI tag pursuit</t>
  </si>
  <si>
    <t>Pollution Control &amp; Environmental Remediation, Waste Management &amp; Sanitation, Soil Health &amp; Fertility</t>
  </si>
  <si>
    <t>• Upcycles industrial waste mica into a highly valuable environmental remediation material
• Efficiently removes mixed contaminants via complexation, electrostatic attraction, and π-π interactions
• Enables multiple reuse cycles through good regeneration capability without significant performance loss
• Avoids hazardous chemicals during synthesis, making it safe and cost-effective for large-scale use</t>
  </si>
  <si>
    <t>Water Resource Management, Waste Management &amp; Sanitation</t>
  </si>
  <si>
    <t>• Achieves ~97% total nitrate removal within one hour of direct sunlight exposure
• Provides rapid ~66% initial removal within 30 minutes via surface adsorption kinetics
• Outperforms pure chitosan beads due to enhanced electrostatic attraction and photocatalytic properties
• Already validated via a functional prototype water filter tested on real groundwater samples</t>
  </si>
  <si>
    <t>Climate &amp; Hydrological Monitoring Tools, Water Resource Management</t>
  </si>
  <si>
    <t>• Provides intuitive visualization of annual, monthly, and daily rainfall distributions
• Detects intra-annual shifts in precipitation behavior through deep seasonal analysis tools
• Identifies extreme rainfall events to actively support flood risk assessments
• Offers flexible data manipulation with user-friendly date range and seasonal filters</t>
  </si>
  <si>
    <t>AI/ML &amp; Data Analytics, Climate &amp; Hydrological Monitoring Tools, GIS &amp; Geospatial Systems</t>
  </si>
  <si>
    <t>www.iccs.res.in</t>
  </si>
  <si>
    <t>• Provides high-resolution, short-term predictions of rainfall dynamically updating in mm/hr
• Accounts for local terrain influence on weather systems using a high-resolution DEM
• Recognizes complex spatial and temporal atmospheric patterns via ConvLSTM deep learning architecture</t>
  </si>
  <si>
    <t>• Provides high efficacy in adsorbing arsenic and bacterial contaminants from water
• Prevents nanoparticle aggregation and enables easy separation via immobilization on polymer microbeads
• Functions effectively across a wide pH range with low leakage and long-term usability
• Reduces production costs by using abundant raw materials and reusable polymer supports</t>
  </si>
  <si>
    <t>Waste Management &amp; Sanitation, Rural Livelihoods &amp; Skill Development, Soil Health &amp; Fertility</t>
  </si>
  <si>
    <t>www.irtc.org.in</t>
  </si>
  <si>
    <t>• Enables continuous daily windrow composting of 3-4 tons of biowaste in low-temperature environments
• Relies on localized, cold-tolerant psychrophilic microbes rather than generic composting strains
• Generates direct local employment and supports women's empowerment in rural communities
• Safely mitigates environmental and public health hazards from unmanaged waste</t>
  </si>
  <si>
    <t>Rural Livelihoods &amp; Skill Development, Waste Management &amp; Sanitation</t>
  </si>
  <si>
    <t>• Enables scalable, year-round decentralized waste processing without relying on chemical treatments
• Minimizes environmental hazards and public health risks associated with waste mismanagement
• Supports a circular economy by safely converting diverse waste streams into usable resources
• Creates direct livelihood opportunities and drives women's participation in bio-based enterprises</t>
  </si>
  <si>
    <t>• Accurately estimates harvestable rainwater based on localized climate and household parameters
• Calculates the optimal storage capacity needed to bridge seasonal water shortages
• Provides actionable implementation guidance for essential RWH components
• Fosters resource conservation and empowers communities toward self-reliant water management</t>
  </si>
  <si>
    <t>Forestry &amp; Biodiversity , Pharmaceuticals &amp; Nutraceuticals, Crop Protection &amp; Disease Management</t>
  </si>
  <si>
    <t>• Provides a natural, plant-derived inhibitor of acetylcholinesterase (AChE)
• Acts as a highly effective natural insecticide by impairing insect neuronal activity and flight response
• Offers a promising candidate molecule for the development of Alzheimer's disease therapeutics</t>
  </si>
  <si>
    <t>Food Processing &amp; Value Addition, Pharmaceuticals &amp; Nutraceuticals, Rural Livelihoods &amp; Skill Development</t>
  </si>
  <si>
    <t>• Eliminates raw shoot perishability issues by transforming them into highly stable commercial ingredients
• Standardized protocols effectively neutralize dangerous cyanogenic compounds for guaranteed food safety
• Lyophilization technology preserves maximum original micronutrients, active fibers, texture, and flavor profile
• Creates viable rural enterprise models and value-addition opportunities at the agricultural source</t>
  </si>
  <si>
    <t>Food Processing &amp; Value Addition, Rural Livelihoods &amp; Skill Development</t>
  </si>
  <si>
    <t>• Converts highly perishable fresh harvests into long-shelf-life, high-value commercial commodities
• Ready-to-fruit inoculated beds drastically reduce operational labor, specialized setup costs, and contamination risks
• Validated at scale through an active ecosystem supporting over 400 farmers and 1,000 trained individuals
• Integrates grassroots rural entrepreneurship with standardized quality-control biotechnology</t>
  </si>
  <si>
    <t>Food Processing &amp; Value Addition, Rural Livelihoods &amp; Skill Development, Pharmaceuticals &amp; Nutraceuticals</t>
  </si>
  <si>
    <t>www.coem.kerala.gov.in</t>
  </si>
  <si>
    <t>• Delivers a synergistic combination of live probiotics and natural prebiotic fibers in an indulgent format
• Maximizes post-harvest utilization of highly perishable local fruits to significantly decrease seasonal agricultural waste
• Enriches the confectionery medium with natural antioxidants and essential micronutrients without chemical additives
• Provides a highly marketable entry into premium, clean-label health and wellness segments</t>
  </si>
  <si>
    <t>Food Processing &amp; Value Addition, Biotechnology &amp; Life Sciences, Rural Livelihoods &amp; Skill Development</t>
  </si>
  <si>
    <t>• Delivers consistent, predictable, and highly uniform fermentation quality across batches
• Significantly minimizes dangerous microbial contamination risks inherent in wild back-sloping methods
• Formulated entirely without synthetic additives or preservatives, meeting clean-label standards
• Supports compliance with modern food safety trends and emerging regulatory restrictions on antibiotics</t>
  </si>
  <si>
    <t>Pharmaceuticals &amp; Nutraceuticals, Crop Protection &amp; Disease Management</t>
  </si>
  <si>
    <t>₹10-15 Lakhs</t>
  </si>
  <si>
    <t>• Demonstrates high potency with zones of inhibition ranging from 20.5 mm to 23.7 mm against major pathogens
• Employs a green, low-toxicity processing methodology utilizing eco-friendly ethyl acetate extraction
• Offers dual-use versatility with massive market potential across both pharmaceutical and agritech sectors
• Directly addresses international and national clinical priority frameworks for AMR mitigation</t>
  </si>
  <si>
    <t>Pharmaceuticals &amp; Nutraceuticals, Genetic &amp; Molecular Research Tools</t>
  </si>
  <si>
    <t>www.iav.kerala.gov.in</t>
  </si>
  <si>
    <t>• Significantly compresses the timeline from target gene isolation to final 3D protein structure resolution
• Provides fully integrated capabilities from molecular cloning to precise biophysical interaction mechanics (BLI/ITC)
• Delivers high-resolution structural blueprints crucial for targeted, data-informed lead optimization
• Features flexible, modular collaboration structures optimized for startup incubation and industrial alignment</t>
  </si>
  <si>
    <t>Biotechnology &amp; Life Sciences, AI/ML &amp; Data Analytics</t>
  </si>
  <si>
    <t>• Shifts dengue clinical management from late-stage reactive treatment to proactive early risk stratification
• Operates as a rapid, affordable, and portable strip device ideal for resource-limited and rural settings
• Reduces severe clinical strain on healthcare infrastructure by preventing unnecessary hospital admissions
• Utilizes highly specific host-derived endothelial biomarkers validated through pilot machine learning models</t>
  </si>
  <si>
    <t>Genetic &amp; Molecular Research Tools, Pharmaceuticals &amp; Nutraceuticals</t>
  </si>
  <si>
    <t>• Maximizes sequencing efficiency by selectively reducing masking host background reads
• Enhances high-confidence detection limits for rare or low-abundance pathogens and phages
• Reduces overall raw sequencing data requirements, lowering cost per sample and increasing throughput
• Compatible across diverse specimen matrices for clinical tracking, dietetics, and therapeutics</t>
  </si>
  <si>
    <t>• Provides exceptionally high specificity in detecting viral antigens for precise diagnostics
• Establishes stable monoclones capable of long-term, consistent antibody secretion
• Pinpoints critical antigenic sites to design therapeutics that block viral entry mechanisms
• Lays a scalable groundwork for rapid response against emerging national infectious disease threats</t>
  </si>
  <si>
    <t>Genetic &amp; Molecular Research Tools, Biotechnology &amp; Life Sciences</t>
  </si>
  <si>
    <t>• Generates accurate diagnostic results within 15-30 minutes to support early clinical decision-making
• Eliminates the need for expensive thermocyclers by utilizing constant-temperature RT-LAMP amplification
• Operates with extreme simplicity, requiring minimal training and no specialized lab equipment
• Provides a scalable, cost-effective solution to bridge diagnostic gaps in resource-limited settings</t>
  </si>
  <si>
    <t>• Offers target-specific vector customization maximizing upstream yields for varied host types
• Retains critical biological activity through authentic mammalian post-translational processing
• Utilizes advanced industrial chromatographic purification to secure exceptional protein purity levels
• Scalable infrastructure structured for seamless transition from lab-scale cloning to production runs</t>
  </si>
  <si>
    <t>Biotechnology &amp; Life Sciences, Pharmaceuticals &amp; Nutraceuticals</t>
  </si>
  <si>
    <t>• Employs a layer-by-layer architecture that handles multiple physiological stages of wound recovery simultaneously
• Validated through preclinical trials displaying enhanced healing rates over standard reference pharmaceuticals
• Provides a highly affordable, indigenous alternative to expensive imported advanced wound care dressings
• Synthesizes antimicrobial defense, moisture balancing, and tissue regeneration within a single lightweight pad</t>
  </si>
  <si>
    <t>• Ensures compliance with USFDA and WHO safety limits by propagating specifically targeted low ß-asarone clones
• Enables rapid, large-scale commercial availability through standardized in vitro biotechnological multiplication
• Retains valuable pharmacological properties (neuroprotective, analgesic) while mitigating severe carcinogenic risks
• Secures a sustainable, high-quality supply chain for the pharmaceutical and traditional medicine industries</t>
  </si>
  <si>
    <t>Pharmaceuticals &amp; Nutraceuticals</t>
  </si>
  <si>
    <t>• Delivers multiple therapeutic benefits (analgesic, hepatoprotective, antioxidant) from a single natural source
• Provides flexible administration via dual formats (oral granules and topical ointment)
• Completely natural, non-toxic, and free from synthetic preservatives, ensuring safety for long-term use
• Strong intellectual property protection with a granted national patent backing its scientific efficacy</t>
  </si>
  <si>
    <t>• Demonstrates proven in vivo efficacy in reducing infection severity and preventing organ dissemination
• Provides a natural, safe alternative targeting critical, high-priority clinical pathogens
• Genome-sequenced validation ensures no risk of propagating secondary antibiotic resistance
• Highly versatile functionality suited for both pharmaceutical treatments and everyday wellness foods</t>
  </si>
  <si>
    <t>• Repurposes up to 70% of structural bamboo waste, significantly lowering factory raw material costs
• Delivers a highly consistent 40-minute burn duration with minimized smoke emissions
• Achieves zero-waste manufacturing compatibility suitable for small-scale and decentralized producers
• Safeguards natural forest biomes from overharvesting by shifting away from traditional Jigat bark dependencies</t>
  </si>
  <si>
    <t>Forestry &amp; Biodiversity, Biotechnology &amp; Life Sciences</t>
  </si>
  <si>
    <t>• Offers strict host-specificity, ensuring complete ecological safety for beneficial forest species
• High potency formulation induces total target larval mortality within a narrow three-day window
• Replaces toxic synthetic chemical solutions with a patented, scientifically validated organic compound
• Early field applications reduce defoliator leaf damage by up to 76%, safeguarding annual timber yields</t>
  </si>
  <si>
    <t>Biotechnology &amp; Life Sciences, Consumer Goods &amp; Crafts</t>
  </si>
  <si>
    <t>₹8-12 lakh</t>
  </si>
  <si>
    <t>• Provides a fully biodegradable, environmentally safe alternative to toxic chemical cleaners
• Cleaves dense blood proteins down to water-soluble components for effortless washing
• Operates efficiently at ambient conditions without requiring high-temperature activation
• Cleans thoroughly while preserving the structural integrity and quality of cotton fabrics</t>
  </si>
  <si>
    <t>• Replaces harsh synthetic fragrance chemicals with a 100% plant-derived, biodegradable volatile profile
• Scientifically verified via GC-MS tracking to guarantee precise olfactory consistency and genuine petrichor output
• Leverages profound psychological, memory-evoking consumer attachments to monsoons and natural landscapes
• Highly compatible with growing consumer macro-trends demanding transparent, green, and ethically sourced raw ingredients</t>
  </si>
  <si>
    <t>Forestry &amp; Biodiversity, Rural Livelihoods &amp; Skill Development, Consumer Goods &amp; Crafts</t>
  </si>
  <si>
    <t>• Transforms an aggressive, biodiversity-displacing invasive plant into a premium commercial asset
• Product lifecycle is fully chemical-free and biodegradable, eliminating plastic gift waste
• Empowers vulnerable rural communities and women through structured craft entrepreneurship models
• Directly embeds an environmental conservation narrative into institutional and academic gifting</t>
  </si>
  <si>
    <t>• Formally protected and validated by a registered Geographical Indication (GI) tag, ensuring authenticity and market value premium
• Employs 100% natural, biodegradable, and sustainably sourced thin-walled reed bamboo raw materials
• Superior fiber flexibility allows fine mats to be completely rolled and stored inside a compact bamboo culm without splitting
• Directly anchors and scales economic livelihoods and entrepreneurship for five marginalized indigenous tribal communities</t>
  </si>
  <si>
    <t>Energy Storage &amp; Battery Tech, Nanotechnology &amp; Advanced Materials</t>
  </si>
  <si>
    <t>• Delivers exceptionally high energy density (up to 509 Wh/kg) and power density (2.9 kW/kg) for rapid-charging applications
• Innovative water bath anodization enables direct in-situ crystallization, eliminating complex secondary heating steps
• Exhibits superior cyclic stability driven by dual pseudocapacitance mechanisms and structural oxygen vacancies
• Validated self-doping enhancements provide highly scalable manufacturing pathways for commercial electrode arrays</t>
  </si>
  <si>
    <t>GIS &amp; Geospatial Systems, Smart Transportation, Emergency Response Systems</t>
  </si>
  <si>
    <t>www.natpac.kerala.gov.in</t>
  </si>
  <si>
    <t>• Delivers significant time savings ranging from 10 to 25 seconds per monitored intersection corridor
• Seamlessly integrates into pre-existing traffic control systems without disrupting established road infrastructure
• Employs high-precision GPS boundary tracking to prevent false triggers from non-approaching vehicles
• Directly mitigates corridor-wide cascading delays for critical medical transportation in dense urban zones</t>
  </si>
  <si>
    <t>GIS &amp; Geospatial Systems, AI/ML &amp; Data Analytics, Smart Transportation, Urban Mobility</t>
  </si>
  <si>
    <t>• Provides a unified, real-time ecosystem connecting mobile field data collection directly to a web analytics dashboard
• Leverages advanced GIS mapping to visually track infrastructure wear, pavement details, and high-risk crash zones
• Eliminates disjointed manual traffic surveys with precision timestamped mobile tracking
• Enables evidence-based, rapid policy decisions for infrastructure upgrades and traffic signal deployments</t>
  </si>
  <si>
    <t>AI/ML &amp; Data Analytics, Smart Transportation, Road Safety</t>
  </si>
  <si>
    <t>• Provides direct, radar-driven visual cues that immediately trigger driver self-correction loops
• Grounded in a verified SEM psychological model proving high correlation between real-time feedback and actual brake activation
• Enhances Perceived Behavioural Control (PBC), giving drivers an active sense of mastery over speed compliance
• Demonstrates consistent overspeeding reduction across all demographics and vehicle categories without requiring punitive fines</t>
  </si>
  <si>
    <t>Waste Management &amp; Sanitation</t>
  </si>
  <si>
    <t>• Upcycles heavy concrete debris and structural quarry waste away from urban landfills into functional infrastructure assets
• Completely eliminates the need for mechanical vibrators or rollers due to its self-compacting, high-flow profile
• Capped compressive strength (&lt; 0.7 MPa) guarantees seamless re-excavation with hand tools for future utility repairs
• Leverages pozzolanic reactions from fly ash to achieve reliable structural stability with minimized costly cement binder</t>
  </si>
  <si>
    <t>Climate Action &amp; Carbon Sequestration, Renewable Energy Generation</t>
  </si>
  <si>
    <t>• Vertical-axis configuration allows for safe, compact installation in dense residential environments unlike massive horizontal turbines
• Capable of generating up to 25 kWh per day, offering significant household energy independence
• Perfectly complements existing rooftop solar grid infrastructures for a more stable, 24/7 renewable power supply
• Scalable model designed to trigger local job creation through small-scale regional manufacturing and assembly units</t>
  </si>
  <si>
    <t>Smart Transportation, Road Safety</t>
  </si>
  <si>
    <t>• Proves Speed Humps and Speed Tables drop vehicle velocities significantly by 64% and 58.4% respectively
• Empirically correlates structural implementation to a massive ~40% reduction in localized traffic crashes
• Establishes that Speed Tables provide the optimal balance between high safety margins and smooth transit profiles
• Leverages statistical regression modeling to guide engineers away from ineffective, wide, or flush pavement geometries</t>
  </si>
  <si>
    <t>GIS &amp; Geospatial Systems, Smart Transportation, Road Safety</t>
  </si>
  <si>
    <t>• Demonstrates an expansion in highway flow capacity to 3069 PCU/hr (Level of Service C) when operating under optimal lane isolation
• Leverages precise Time-to-Collision (TTC) modeling to map invisible traffic safety risks without waiting for actual injury data
• Identifies explicit infrastructure friction points like roadside parking misconceptions and narrow lane widths hindering user compliance
• Provides a data-driven path toward targeted structural fixes like specialized safety signage and strict paint-line enforcement</t>
  </si>
  <si>
    <t>Nanotechnology &amp; Advanced Materials</t>
  </si>
  <si>
    <t>• Dual-fiber system stops microscopic fissures from expanding into large, structural macro-cracks under load
• Incorporates industrial GGBS byproducts to significantly reduce carbon footprint while boosting chemical durability
• Offers high-performance workability in fresh form paired with elevated tensile toughness when hardened
• Outperforms standard control M40 concrete mixes in durability metrics, minimizing long-term structural maintenance costs</t>
  </si>
  <si>
    <t>Pharmaceuticals &amp; Nutraceuticals, Forestry &amp; Biodiversity, Crop Protection &amp; Disease Management</t>
  </si>
  <si>
    <t>• Serves as a highly cost-effective, rapid first-line defense against raw material adulteration
• Guarantees the medical safety and bioactive efficacy of commercial herbal and nutraceutical products
• Enhances corporate transparency and supply chain traceability for global botanical brands
• Directly aids in agricultural biosecurity by actively identifying and managing invasive plant species</t>
  </si>
  <si>
    <t>Forestry &amp; Biodiversity, Genetic &amp; Molecular Research Tools, Environmental Governance &amp; Planning</t>
  </si>
  <si>
    <t>• Delivers conclusive, legally admissible genetic evidence to debunk false origin claims in court
• Enables rapid, tamperproof species verification for customs officials preventing illegal timber trade
• Facilitates compliance with stringent international export and sustainability regulations (FSC, EUTR)
• Anchored by India's pioneering DNA reference database covering commercially valuable timber species</t>
  </si>
  <si>
    <t>Forestry &amp; Biodiversity, Rural Livelihoods &amp; Skill Development, Eco-Tourism</t>
  </si>
  <si>
    <t>• Transforms passive conservation areas into self-sustaining, revenue-generating educational hubs without causing ecological degradation
• Deploys Augmented Reality (AR) and digital tools to make complex botanical science accessible and engaging to the general public
• Directly empowers local indigenous communities by hiring them as official naturalists and stewards of traditional knowledge
• Pioneers actionable "Citizen Science," allowing tourists to directly contribute to live phenology and tracking databases</t>
  </si>
  <si>
    <t>• Empowers marginalized rural communities, youth, and women through direct skill development and viable income generation
• Provides end-to-end entrepreneurial support, bridging the gap between raw material sourcing and final retail market linkage
• Leverages a massive 20-acre conservatory with 1,200+ accessions to guarantee a sustainable, high-quality raw material pipeline
• Replaces synthetic and plastic home decor with highly renewable, biodegradable traditional craft products</t>
  </si>
  <si>
    <t>Food Processing &amp; Value Addition, Water Resource Management, Quality Control &amp; Calibration, Aerospace &amp; Defense</t>
  </si>
  <si>
    <t>• Centralizes access to prohibitively expensive, state-of-the-art analytical instrumentation for regional researchers and small industries
• Guarantees industrial manufacturing precision and regulatory compliance via NABL-accredited calibration benchmarks
• Directly safeguards public health through comprehensive food and water safety evaluations
• Bridges the academic-industrial gap by providing hands-on instrumentation training and defense-level consulting</t>
  </si>
  <si>
    <t>Forestry &amp; Biodiversity, Environmental Governance &amp; Planning</t>
  </si>
  <si>
    <t>• Reverses severe groundwater depletion and soil microbial disruption driven by aggressive exotic species like Acacia
• Enhances long-term carbon sequestration profiles by re-establishing complex, multi-tiered native forest canopies
• Systematically restores native floral and faunal biodiversity, strengthening regional climate resilience
• Synchronizes ecological recovery with state and national environmental policies to leverage existing green development funding</t>
  </si>
  <si>
    <t>Environmental Governance &amp; Planning, Forestry &amp; Biodiversity, Soil Health &amp; Fertility</t>
  </si>
  <si>
    <t>• Mitigates the "urban heat island" effect while actively improving local air quality and preventing soil erosion
• Drastically reduces long-term maintenance and water consumption by utilizing native, drought-tolerant flora and smart irrigation
• Rapidly establishes functional green spaces across diverse terrains using live grass mats and vertical garden systems
• Provides a scalable, sustainable development strategy that directly integrates with ongoing Smart City and urban renewal initiatives</t>
  </si>
  <si>
    <t>• Provides robust, dual-pathogen defense through a single bivalent dose, significantly easing healthcare logistics
• Highly stable formulation eliminates strict, expensive cold-chain storage requirements, optimizing it for resource-limited areas
• Leverages an proprietary in-house liposomal delivery matrix to maximize cellular uptake and trigger a stronger immune response
• Features a rapidly programmable nucleic acid backbone, allowing for accelerated synthesis and scaling during sudden viral outbreaks</t>
  </si>
  <si>
    <t>• Provides access to the globally recognized gold-standard Plaque Reduction Neutralization Test (PRNT)
• Delivers high-accuracy potency data (IC50 values) using rigorous 8-point serial dilutions in duplicate
• Safely handles dangerous mosquito-borne pathogens within a secure, specialized biocontainment infrastructure
• Accelerates the therapeutic pipeline by bridging the gap between raw natural compound extraction and validated clinical drug potential</t>
  </si>
  <si>
    <t>Genetic &amp; Molecular Research Tools, Agriculture &amp; Crop Sciences, Quality Control &amp; Calibration</t>
  </si>
  <si>
    <t>• Provides 100% environment-independent identification, bypassing the unreliability of visual traits altered by soil or weather
• Enables genetic authentication at the earliest seedling stage, eliminating the need to wait months for a plant to fruit or flower
• Yields reproducible, legally admissible DNA data to prosecute seed fraud and protect intellectual property
• Highly scalable and cost-effective over time for massive commercial breeding programs</t>
  </si>
  <si>
    <t>Pharmaceuticals &amp; Nutraceuticals, Food Processing &amp; Value Addition</t>
  </si>
  <si>
    <t>• Scientifically validates traditional ethnomedicinal knowledge with rigorous modern efficacy and toxicity testing
• Solves the classic curcumin absorption problem by utilizing piperine to boost biological uptake by up to 2000%
• Offers an end-to-end commercialization pipeline for startups, from raw plant identification to final regulatory compliance
• Develops targeted, consumer-friendly formulations addressing immune resilience, skin health, and inflammatory diseases</t>
  </si>
  <si>
    <t>Aquaculture &amp; Fisheries, Sustainable Farming, Waste Management &amp; Sanitation, Water Resource Management</t>
  </si>
  <si>
    <t>• Achieves a near-zero-waste cycle by recycling up to 90% of water, making it immune to drought conditions
• Generates massive dual yields on small land footprints (e.g., 3+ tonnes of fish annually from a mere 40 m² pond)
• Converts problematic filter sludge into free, usable energy via an integrated biogas unit providing 4 hours of daily cooking gas
• Replaces expensive chemical fertilizers with organic, highly bioavailable fish effluent to drive rapid vegetable growth</t>
  </si>
  <si>
    <t>Forestry &amp; Biodiversity, Soil Health &amp; Fertility, Environmental Governance &amp; Planning</t>
  </si>
  <si>
    <t>• Provides a highly cost-effective, sustainable alternative to traditional concrete retaining walls
• Deep native root systems actively reinforce soil mechanics and prevent catastrophic bank collapse during floods
• Creates functional biological corridors that restore local aquatic and terrestrial biodiversity
• Empowers local communities by integrating native species that yield usable food and fodder resources</t>
  </si>
  <si>
    <t>AI/ML &amp; Data Analytics, Public Health &amp; Epidemiology, Environmental Governance &amp; Planning</t>
  </si>
  <si>
    <t>• Shifts public health management from reactive crisis response to proactive outbreak prevention
• Merges previously isolated datasets (climate tech + medical epidemiology) into a single, actionable dashboard
• Optimizes municipal budgets by allowing targeted, hyper-local deployment of vector control resources
• Provides a highly scalable algorithmic architecture capable of adapting to various emerging climate-sensitive pathogens</t>
  </si>
  <si>
    <t>Transport Engineering &amp; Mobility, Urban Planning &amp; Smart Cities, Data Analytics &amp; Optimization</t>
  </si>
  <si>
    <t>• Pinpoints high-value transfer hubs with topological precision using multidimensional centrality rankings
• Transforms rigid, money-losing transit lines into high-efficiency, data-driven dynamic headway loops
• Quantifies systemic vulnerability and network redundancy before executing costly physical infrastructure changes
• Provides a fully scalable, universal algorithmic framework replicable across any complex municipal bus or rail network</t>
  </si>
  <si>
    <t>Disaster Management &amp; Safety, Aerospace &amp; Defense, AI/ML &amp; Data Analytics</t>
  </si>
  <si>
    <t>• Achieves rapid battlefield/disaster deployment in under 15 minutes to maximize survival rates during the critical golden hour
• Flies completely independently of GPS signals by constructing localized real-time structural maps via LiDAR-driven SLAM
• Accurately targets human survivors buried under debris or obscured by heavy smoke via dual visual-thermal AI fusion
• Delivers critical survival, medical, or communication payloads directly to stranded individuals without deploying human personnel</t>
  </si>
  <si>
    <t>Carbon Accounting &amp; Climate Finance, GovTech &amp; Public Portals, Environmental Governance &amp; Planning</t>
  </si>
  <si>
    <t>www.kscste.kerala.gov.in</t>
  </si>
  <si>
    <t>• Democratizes access to complex carbon auditing tools, removing the need for expensive third-party consultancies
• Grounded completely in rigorous, globally accepted IPCC methodologies, ensuring international compliance for credits
• Provides instant, actionable transparency by explicitly itemizing local emission factors and math assumptions per sector
• Accelerates regional climate goals through data-driven aggregation and visual impact mapping at the district level</t>
  </si>
  <si>
    <t>Hydrology &amp; Groundwater Exploration, Environmental Analytics &amp; Impact Assessment, Water Resource Management, Soil Health &amp; Fertility</t>
  </si>
  <si>
    <t>www.cwrdm.org</t>
  </si>
  <si>
    <t>• Delivers certified, actionable subsurface profiles using 2D Electrical Resistivity Tomography to prevent dry borehole drilling
• Uses atomic-level Stable Isotope Analysis to accurately trace the hidden source and pathway of groundwater pollutants
• Empowers municipal planners with localized Water Budgeting templates to balance multi-sector consumption demands
• Streamlines industrial project compliance via NABET-accredited Environmental Impact Assessments (EIA) for river valley zones</t>
  </si>
  <si>
    <t>IP Valuation &amp; Tech Transfer, R&amp;D Strategic Planning, Data Analytics &amp; Optimization</t>
  </si>
  <si>
    <t>• Eliminates the guesswork in technology transfer negotiations by providing a mathematically sound, data-driven IP baseline price
• Automatically fills in missing economic variables from an integrated database, streamlining the valuation process for non-financial researchers
• Incorporates a novel, proprietary matrix specifically designed for calculating fair and competitive royalty ranges
• Instantly generates formal, legally and financially formatted PDF valuation reports required for mergers, acquisitions, and licensing</t>
  </si>
  <si>
    <t>Technology ID</t>
  </si>
  <si>
    <t>Technology Name</t>
  </si>
  <si>
    <t>Sector</t>
  </si>
  <si>
    <t>Technology Type</t>
  </si>
  <si>
    <t>Problem Solved</t>
  </si>
  <si>
    <t>Description</t>
  </si>
  <si>
    <t>Applications</t>
  </si>
  <si>
    <t>Startup Potential</t>
  </si>
  <si>
    <t>TRL</t>
  </si>
  <si>
    <t>Contact Person</t>
  </si>
  <si>
    <t>Email</t>
  </si>
  <si>
    <t>Source PDF</t>
  </si>
  <si>
    <t>Page No</t>
  </si>
  <si>
    <t>Keywords</t>
  </si>
  <si>
    <t>Image URL</t>
  </si>
  <si>
    <t>Institution Website</t>
  </si>
  <si>
    <t>• Manufacturing of commercial functional breakfast mixes • Production of ready-to-prepare therapeutic soup formulas • Processing of specialized geriatric and pediatric nutrition products • Formulation of value-added traditional grain snacks</t>
  </si>
  <si>
    <t>https://www.niist.res.in</t>
  </si>
  <si>
    <t>• Processing and post-harvest drying of commercial fruits • Dehydration of high-value plantation spices and herbs • Preservation drying of ornamental flowers and botanicals • Integration into small-scale decentralized agro-processing units</t>
  </si>
  <si>
    <t>• Industrial processing of premium white pepper grades • Manufacturing of specialized biological retting formulations • Deployment in eco-friendly, zero-discharge spice processing centers • Commercial cultivation value-addition loops for pepper farmers</t>
  </si>
  <si>
    <t>• Production of fortified edible blended cooking oils • Manufacturing of nutritional supplements combating vitamin deficiencies • Formulation of nutrient-dense ingredients for public food programs • Processing of high-carotene functional food oil bases</t>
  </si>
  <si>
    <t>• Production of low-glycemic clinical nutrition foods • Manufacturing of specialized diabetic-friendly meal mixes • Processing of value-added functional green banana flours • Formulation of therapeutic therapeutic-grade food bases</t>
  </si>
  <si>
    <t>• Manufacturing of high-fiber baking ingredient supplements • Processing of agro-industrial waste into functional foods • Formulation of dietary fiber-enriched nutraceutical bases • Production of botanical phytochemical extracts for food fortification</t>
  </si>
  <si>
    <t>• Manufacturing of low-glycemic powdered instant beverage mixes • Production of RTD (Ready-to-Drink) therapeutic health drinks • Processing of value-added grain-and-fruit functional beverages • Formulation of specialized clinical health nutrition powders</t>
  </si>
  <si>
    <t>• Accelerated processing of natural coir fiber • Rapid extraction of agricultural banana and pineapple fibers • Anaerobic generation of industrial and municipal biogas fuel • Treatment and resource recovery of agricultural biomass waste</t>
  </si>
  <si>
    <t>• Continuous cleaning and post-harvest washing of raw ginger • Industrial processing of premium dry ginger powders • Automated grading and surface waxing of export-grade ginger • Dehydration and mechanical dewatering of root spice crops</t>
  </si>
  <si>
    <t>• Production of specialized health and functional culinary syrups • Manufacturing of ingredient bases for instant traditional coffees • Processing of value-added coconut and palmyra palm sap products • Formulation of natural herbal-fortified sweetening agents</t>
  </si>
  <si>
    <t>• Manufacturing of traditional Ayurvedic medical syrups • Formulation of clinical respiratory health-support therapeutics • Production of biological bioavailability-enhancing syrup bases • Processing of unfermented palm tree sap into shelf-stable liquid forms</t>
  </si>
  <si>
    <t>www.ncrmi.org</t>
  </si>
  <si>
    <t>CPCRI-019 (provisional)</t>
  </si>
  <si>
    <t>ICAR-CPCRI</t>
  </si>
  <si>
    <t>• Manufacturing of liquid organic fertilizers • Production of agricultural bio-stimulants • Commercial vegetable cultivation inputs</t>
  </si>
  <si>
    <t>https://cpcri.icar.gov.in</t>
  </si>
  <si>
    <t>• Provides a liquid organic fertilizer extracted from active vermicomposting. • Can be applied to field and horticultural crops, particularly vegetables.</t>
  </si>
  <si>
    <t>CPCRI-020 (provisional)</t>
  </si>
  <si>
    <t>• Commercial agricultural propagation facilities • Production of specialized coconut varieties • Deployment in plant tissue culture laboratories</t>
  </si>
  <si>
    <t>• Permits safe germplasm exchange. • Helps in propagation of special types of coconut like soft and sweet endosperm types.</t>
  </si>
  <si>
    <t>CPCRI-021 (provisional)</t>
  </si>
  <si>
    <t>• Commercial agricultural breeding programs • Operation of plant genetic resource banks • Deployment in crop improvement facilities</t>
  </si>
  <si>
    <t>• Simple and user-friendly protocol. • Enables retrieval and utilization of pollen from high yielding palms in breeding programmes as required.</t>
  </si>
  <si>
    <t>CPCRI-022 (provisional)</t>
  </si>
  <si>
    <t>• Mass multiplication of elite agricultural crops • Commercial operation of plant tissue culture labs • Production of uniform planting materials</t>
  </si>
  <si>
    <t>• Can produce uniform clones of elite palms.</t>
  </si>
  <si>
    <t>CPCRI-023 (provisional)</t>
  </si>
  <si>
    <t>• Commercial mass multiplication of arecanut hybrids • Production of disease-resistant agricultural planting materials</t>
  </si>
  <si>
    <t>• Enables mass multiplication of dwarf areca hybrids. • Enables multiplication of YLD disease resistant palms.</t>
  </si>
  <si>
    <t>CPCRI-024 (provisional)</t>
  </si>
  <si>
    <t>• Commercial agricultural diagnostic screening • Quality control in plant nurseries • Manufacturing of agricultural genetic testing kits</t>
  </si>
  <si>
    <t>• Assists in screening progenies to confirm hybrid nature in the nursery itself. • Ensures supply of genuine hybrid seedlings to farmers.</t>
  </si>
  <si>
    <t>CPCRI-025 (provisional)</t>
  </si>
  <si>
    <t>• Commercial mass multiplication of agricultural hybrids • Production of disease-resistant planting materials</t>
  </si>
  <si>
    <t>CPCRI-026 (provisional)</t>
  </si>
  <si>
    <t>• Manufacturing of organic agricultural biocontrol agents • Production of prophylactic treatments for plantation crops • Commercial nursery disease management</t>
  </si>
  <si>
    <t>• Simple and low-cost technology. • Formulation has a shelf life of one year. • Easy to handle and apply as a prophylactic treatment.</t>
  </si>
  <si>
    <t>CPCRI-027 (provisional)</t>
  </si>
  <si>
    <t>• Industrial-scale manufacturing of agricultural biopesticides • Production of eco-friendly disease management inputs • Deployment in plantation crop protection programs</t>
  </si>
  <si>
    <t>• Very simple and cost-effective technology for rapid mass production. • Provides eco-friendly management of stem bleeding, basal stem rot, and quick wilt disease.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</si>
</sst>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21">
    <font>
      <sz val="10.0"/>
      <color rgb="FF000000"/>
      <name val="Arial"/>
      <scheme val="minor"/>
    </font>
    <font>
      <b/>
      <color theme="1"/>
      <name val="Arial"/>
      <scheme val="minor"/>
    </font>
    <font>
      <color theme="1"/>
      <name val="Arial"/>
      <scheme val="minor"/>
    </font>
    <font>
      <b/>
      <sz val="14.0"/>
      <color theme="1"/>
      <name val="Arial"/>
      <scheme val="minor"/>
    </font>
    <font>
      <sz val="14.0"/>
      <color theme="1"/>
      <name val="Arial"/>
      <scheme val="minor"/>
    </font>
    <font>
      <sz val="10.0"/>
      <color rgb="FF000000"/>
      <name val="Roboto"/>
    </font>
    <font>
      <u/>
      <color rgb="FF0000FF"/>
      <name val="Roboto"/>
    </font>
    <font>
      <u/>
      <color rgb="FF0000FF"/>
      <name val="Roboto"/>
    </font>
    <font>
      <color rgb="FF1F1F1F"/>
      <name val="&quot;Google Sans Text&quot;"/>
    </font>
    <font>
      <sz val="11.0"/>
      <color rgb="FF1F1F1F"/>
      <name val="&quot;Google Sans Text&quot;"/>
    </font>
    <font>
      <color theme="1"/>
      <name val="&quot;Google Sans Text&quot;"/>
    </font>
    <font>
      <u/>
      <color rgb="FF0000FF"/>
      <name val="Roboto"/>
    </font>
    <font>
      <u/>
      <color rgb="FF0000FF"/>
      <name val="Roboto"/>
    </font>
    <font>
      <u/>
      <color rgb="FF0000FF"/>
      <name val="&quot;Google Sans Text&quot;"/>
    </font>
    <font>
      <u/>
      <color rgb="FF0000FF"/>
      <name val="&quot;Google Sans Text&quot;"/>
    </font>
    <font>
      <u/>
      <color rgb="FF0000FF"/>
      <name val="Roboto"/>
    </font>
    <font>
      <u/>
      <color rgb="FF0000FF"/>
      <name val="&quot;Google Sans Text&quot;"/>
    </font>
    <font>
      <u/>
      <color rgb="FF0000FF"/>
      <name val="&quot;Google Sans Text&quot;"/>
    </font>
    <font>
      <u/>
      <sz val="11.0"/>
      <color rgb="FF0000FF"/>
      <name val="&quot;Google Sans Text&quot;"/>
    </font>
    <font>
      <b/>
      <sz val="13.0"/>
      <color theme="1"/>
      <name val="Arial"/>
      <scheme val="minor"/>
    </font>
    <font>
      <sz val="13.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rgb="FFFF9900"/>
        <bgColor rgb="FFFF9900"/>
      </patternFill>
    </fill>
    <fill>
      <patternFill patternType="solid">
        <fgColor rgb="FFFFFF00"/>
        <bgColor rgb="FFFFFF00"/>
      </patternFill>
    </fill>
  </fills>
  <borders count="3">
    <border/>
    <border>
      <left style="thin">
        <color rgb="FFC4C7C5"/>
      </left>
      <right style="thin">
        <color rgb="FFC4C7C5"/>
      </right>
      <top style="thin">
        <color rgb="FFC4C7C5"/>
      </top>
      <bottom style="thin">
        <color rgb="FFC4C7C5"/>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2" fontId="5" numFmtId="0" xfId="0" applyAlignment="1" applyFill="1" applyFont="1">
      <alignment readingOrder="0" shrinkToFit="0" vertical="center" wrapText="1"/>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8" numFmtId="0" xfId="0" applyAlignment="1" applyFont="1">
      <alignment readingOrder="0" shrinkToFit="0" vertical="center" wrapText="1"/>
    </xf>
    <xf borderId="0" fillId="3" fontId="8" numFmtId="49" xfId="0" applyAlignment="1" applyFill="1" applyFont="1" applyNumberForma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49" xfId="0" applyAlignment="1" applyFont="1" applyNumberFormat="1">
      <alignment readingOrder="0" shrinkToFit="0" vertical="center" wrapText="0"/>
    </xf>
    <xf borderId="0" fillId="0" fontId="9" numFmtId="0" xfId="0" applyAlignment="1" applyFont="1">
      <alignment readingOrder="0" shrinkToFit="0" vertical="center" wrapText="1"/>
    </xf>
    <xf borderId="0" fillId="3" fontId="9" numFmtId="49" xfId="0" applyAlignment="1" applyFont="1" applyNumberFormat="1">
      <alignment readingOrder="0" shrinkToFit="0" vertical="center" wrapText="0"/>
    </xf>
    <xf borderId="0" fillId="0" fontId="9" numFmtId="0" xfId="0" applyAlignment="1" applyFont="1">
      <alignment readingOrder="0" shrinkToFit="0" vertical="center" wrapText="0"/>
    </xf>
    <xf borderId="0" fillId="3"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1" fillId="0" fontId="10"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4" fontId="10" numFmtId="0" xfId="0" applyAlignment="1" applyBorder="1" applyFont="1">
      <alignment readingOrder="0" shrinkToFit="0" vertical="center" wrapText="1"/>
    </xf>
    <xf borderId="1" fillId="4" fontId="10" numFmtId="49" xfId="0" applyAlignment="1" applyBorder="1" applyFont="1" applyNumberFormat="1">
      <alignment readingOrder="0" shrinkToFit="0" vertical="center" wrapText="1"/>
    </xf>
    <xf borderId="1" fillId="4" fontId="10" numFmtId="0" xfId="0" applyAlignment="1" applyBorder="1" applyFont="1">
      <alignment readingOrder="0" shrinkToFit="0" vertical="center" wrapText="1"/>
    </xf>
    <xf borderId="1" fillId="0" fontId="10" numFmtId="49" xfId="0" applyAlignment="1" applyBorder="1" applyFont="1" applyNumberFormat="1">
      <alignment readingOrder="0"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1"/>
    </xf>
    <xf borderId="1" fillId="0" fontId="10"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0" numFmtId="49" xfId="0" applyAlignment="1" applyBorder="1" applyFont="1" applyNumberFormat="1">
      <alignment readingOrder="0" shrinkToFit="0" vertical="center" wrapText="0"/>
    </xf>
    <xf borderId="1" fillId="0" fontId="10" numFmtId="0" xfId="0" applyAlignment="1" applyBorder="1" applyFont="1">
      <alignment readingOrder="0" shrinkToFit="0" vertical="center" wrapText="0"/>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49" xfId="0" applyAlignment="1" applyFont="1" applyNumberFormat="1">
      <alignment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11" numFmtId="0" xfId="0" applyAlignment="1" applyFont="1">
      <alignment readingOrder="0" shrinkToFit="0" vertical="center" wrapText="1"/>
    </xf>
    <xf borderId="0" fillId="0" fontId="12" numFmtId="0" xfId="0" applyAlignment="1" applyFont="1">
      <alignment shrinkToFit="0" vertical="center" wrapText="0"/>
    </xf>
    <xf borderId="0" fillId="0" fontId="2" numFmtId="0" xfId="0" applyAlignment="1" applyFont="1">
      <alignment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1"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1"/>
    </xf>
    <xf borderId="1" fillId="0" fontId="13" numFmtId="0" xfId="0" applyAlignment="1" applyBorder="1" applyFont="1">
      <alignment readingOrder="0" shrinkToFit="0" vertical="center" wrapText="1"/>
    </xf>
    <xf borderId="1" fillId="4" fontId="10" numFmtId="0" xfId="0" applyAlignment="1" applyBorder="1" applyFont="1">
      <alignment readingOrder="0" shrinkToFit="0" vertical="center" wrapText="1"/>
    </xf>
    <xf borderId="1" fillId="4" fontId="14" numFmtId="0" xfId="0" applyAlignment="1" applyBorder="1" applyFont="1">
      <alignment readingOrder="0" shrinkToFit="0" vertical="center" wrapText="1"/>
    </xf>
    <xf borderId="0" fillId="4" fontId="2" numFmtId="0" xfId="0" applyFont="1"/>
    <xf borderId="1" fillId="0" fontId="10" numFmtId="0" xfId="0" applyAlignment="1" applyBorder="1" applyFont="1">
      <alignment readingOrder="0" shrinkToFit="0" vertical="center" wrapText="1"/>
    </xf>
    <xf borderId="2" fillId="5" fontId="2" numFmtId="0" xfId="0" applyAlignment="1" applyBorder="1" applyFill="1" applyFont="1">
      <alignment shrinkToFit="0" wrapText="1"/>
    </xf>
    <xf borderId="0" fillId="0" fontId="2" numFmtId="0" xfId="0" applyAlignment="1" applyFont="1">
      <alignment readingOrder="0" shrinkToFit="0" vertical="center" wrapText="1"/>
    </xf>
    <xf borderId="0" fillId="0" fontId="15" numFmtId="0" xfId="0" applyAlignment="1" applyFont="1">
      <alignment readingOrder="0" shrinkToFit="0" vertical="center" wrapText="1"/>
    </xf>
    <xf borderId="1" fillId="0" fontId="10"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3" fontId="1" numFmtId="0" xfId="0" applyAlignment="1" applyFont="1">
      <alignment horizontal="center" readingOrder="0" shrinkToFit="0" vertical="center" wrapText="0"/>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2" numFmtId="49" xfId="0" applyAlignment="1" applyFont="1" applyNumberFormat="1">
      <alignment shrinkToFit="0" vertical="center" wrapText="0"/>
    </xf>
    <xf borderId="0" fillId="3" fontId="2" numFmtId="49" xfId="0" applyAlignment="1" applyFont="1" applyNumberFormat="1">
      <alignment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3" fontId="2" numFmtId="0" xfId="0" applyFont="1"/>
    <xf borderId="0" fillId="0" fontId="19" numFmtId="0" xfId="0" applyAlignment="1" applyFont="1">
      <alignment horizontal="center" readingOrder="0" shrinkToFit="0" vertical="center" wrapText="0"/>
    </xf>
    <xf borderId="0" fillId="0" fontId="19" numFmtId="0" xfId="0" applyAlignment="1" applyFont="1">
      <alignment horizontal="center" readingOrder="0" shrinkToFit="0" vertical="center" wrapText="1"/>
    </xf>
    <xf borderId="0" fillId="0" fontId="19" numFmtId="49" xfId="0" applyAlignment="1" applyFont="1" applyNumberFormat="1">
      <alignment horizontal="center" readingOrder="0"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MAIN SHEET-style">
      <tableStyleElement dxfId="1" type="headerRow"/>
      <tableStyleElement dxfId="2" type="firstRowStripe"/>
      <tableStyleElement dxfId="3" type="secondRowStripe"/>
      <tableStyleElement dxfId="4" size="0" type="wholeTable"/>
    </tableStyle>
    <tableStyle count="4" pivot="0" name="institution Details -style">
      <tableStyleElement dxfId="1" type="headerRow"/>
      <tableStyleElement dxfId="2" type="firstRowStripe"/>
      <tableStyleElement dxfId="3" type="secondRowStripe"/>
      <tableStyleElement dxfId="4" size="0" type="wholeTable"/>
    </tableStyle>
    <tableStyle count="4" pivot="0" name="KSCSTE  -style">
      <tableStyleElement dxfId="1" type="headerRow"/>
      <tableStyleElement dxfId="2" type="firstRowStripe"/>
      <tableStyleElement dxfId="3" type="secondRowStripe"/>
      <tableStyleElement dxfId="4" size="0" type="wholeTable"/>
    </tableStyle>
    <tableStyle count="4" pivot="0" name="niist-style">
      <tableStyleElement dxfId="1" type="headerRow"/>
      <tableStyleElement dxfId="2" type="firstRowStripe"/>
      <tableStyleElement dxfId="3" type="secondRowStripe"/>
      <tableStyleElement dxfId="4" size="0" type="wholeTable"/>
    </tableStyle>
    <tableStyle count="4" pivot="0" name="cpcr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Q410" displayName="Table1" name="Table1" id="1">
  <tableColumns count="17">
    <tableColumn name="technology_id" id="1"/>
    <tableColumn name="technology_name" id="2"/>
    <tableColumn name="institution" id="3"/>
    <tableColumn name="sector" id="4"/>
    <tableColumn name="technology_type" id="5"/>
    <tableColumn name="problem_solved" id="6"/>
    <tableColumn name="description" id="7"/>
    <tableColumn name="applications" id="8"/>
    <tableColumn name="startup_potential" id="9"/>
    <tableColumn name="trl" id="10"/>
    <tableColumn name="patent_status" id="11"/>
    <tableColumn name="contact_person" id="12"/>
    <tableColumn name="email" id="13"/>
    <tableColumn name="source_pdf" id="14"/>
    <tableColumn name="page_no" id="15"/>
    <tableColumn name="keywords" id="16"/>
    <tableColumn name="image_url" id="17"/>
  </tableColumns>
  <tableStyleInfo name="MAIN SHEET-style" showColumnStripes="0" showFirstColumn="1" showLastColumn="1" showRowStripes="1"/>
</table>
</file>

<file path=xl/tables/table2.xml><?xml version="1.0" encoding="utf-8"?>
<table xmlns="http://schemas.openxmlformats.org/spreadsheetml/2006/main" ref="A1:E337" displayName="Table1_5" name="Table1_5" id="2">
  <tableColumns count="5">
    <tableColumn name="Institution" id="1"/>
    <tableColumn name="institution logo url" id="2"/>
    <tableColumn name="location &amp; website link " id="3"/>
    <tableColumn name="District" id="4"/>
    <tableColumn name="website" id="5"/>
  </tableColumns>
  <tableStyleInfo name="institution Details -style" showColumnStripes="0" showFirstColumn="1" showLastColumn="1" showRowStripes="1"/>
</table>
</file>

<file path=xl/tables/table3.xml><?xml version="1.0" encoding="utf-8"?>
<table xmlns="http://schemas.openxmlformats.org/spreadsheetml/2006/main" ref="A1:V208" displayName="Table1_6" name="Table1_6" id="3">
  <tableColumns count="22">
    <tableColumn name="technology_id" id="1"/>
    <tableColumn name="technology_name" id="2"/>
    <tableColumn name="institution" id="3"/>
    <tableColumn name="primary_sector" id="4"/>
    <tableColumn name="secondary_sector" id="5"/>
    <tableColumn name="technology_type" id="6"/>
    <tableColumn name="problem_solved" id="7"/>
    <tableColumn name="description" id="8"/>
    <tableColumn name="applications_&amp;_industry_standard" id="9"/>
    <tableColumn name="startup_potential" id="10"/>
    <tableColumn name="trl" id="11"/>
    <tableColumn name="patent_status" id="12"/>
    <tableColumn name="investment_required" id="13"/>
    <tableColumn name="contact_person" id="14"/>
    <tableColumn name="email" id="15"/>
    <tableColumn name="source_pdf" id="16"/>
    <tableColumn name="page_no" id="17"/>
    <tableColumn name="keywords" id="18"/>
    <tableColumn name="image_url" id="19"/>
    <tableColumn name="institution_website" id="20"/>
    <tableColumn name="institution_logo_url" id="21"/>
    <tableColumn name="key_benefits_&amp;_value_proposition" id="22"/>
  </tableColumns>
  <tableStyleInfo name="KSCSTE  -style" showColumnStripes="0" showFirstColumn="1" showLastColumn="1" showRowStripes="1"/>
</table>
</file>

<file path=xl/tables/table4.xml><?xml version="1.0" encoding="utf-8"?>
<table xmlns="http://schemas.openxmlformats.org/spreadsheetml/2006/main" ref="A1:R181" displayName="Table1_2" name="Table1_2" id="4">
  <tableColumns count="18">
    <tableColumn name="Technology ID" id="1"/>
    <tableColumn name="Technology Name" id="2"/>
    <tableColumn name="Institution" id="3"/>
    <tableColumn name="Sector" id="4"/>
    <tableColumn name="Technology Type" id="5"/>
    <tableColumn name="Problem Solved" id="6"/>
    <tableColumn name="Description" id="7"/>
    <tableColumn name="Applications" id="8"/>
    <tableColumn name="Startup Potential" id="9"/>
    <tableColumn name="TRL" id="10"/>
    <tableColumn name="Patent Status" id="11"/>
    <tableColumn name="Contact Person" id="12"/>
    <tableColumn name="Email" id="13"/>
    <tableColumn name="Source PDF" id="14"/>
    <tableColumn name="Page No" id="15"/>
    <tableColumn name="Keywords" id="16"/>
    <tableColumn name="Image URL" id="17"/>
    <tableColumn name="Institution Website" id="18"/>
  </tableColumns>
  <tableStyleInfo name="niist-style" showColumnStripes="0" showFirstColumn="1" showLastColumn="1" showRowStripes="1"/>
</table>
</file>

<file path=xl/tables/table5.xml><?xml version="1.0" encoding="utf-8"?>
<table xmlns="http://schemas.openxmlformats.org/spreadsheetml/2006/main" ref="A1:T11" displayName="Table3" name="Table3" id="5">
  <tableColumns count="20">
    <tableColumn name="technology_id" id="1"/>
    <tableColumn name="technology_name" id="2"/>
    <tableColumn name="institution" id="3"/>
    <tableColumn name="sector" id="4"/>
    <tableColumn name="technology_type" id="5"/>
    <tableColumn name="problem_solved" id="6"/>
    <tableColumn name="description" id="7"/>
    <tableColumn name="startup_potential" id="8"/>
    <tableColumn name="trl" id="9"/>
    <tableColumn name="patent_status" id="10"/>
    <tableColumn name="investment_required" id="11"/>
    <tableColumn name="contact_person" id="12"/>
    <tableColumn name="email" id="13"/>
    <tableColumn name="source_pdf" id="14"/>
    <tableColumn name="page_no" id="15"/>
    <tableColumn name="keywords" id="16"/>
    <tableColumn name="image_url" id="17"/>
    <tableColumn name="institution_website" id="18"/>
    <tableColumn name="institution_logo_url" id="19"/>
    <tableColumn name="key_benefits_&amp;_value_proposition" id="20"/>
  </tableColumns>
  <tableStyleInfo name="cpcr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FQWmKzameszjpgcGMVbqBw_NWyMuINal/view?usp=drive_link" TargetMode="External"/><Relationship Id="rId10" Type="http://schemas.openxmlformats.org/officeDocument/2006/relationships/hyperlink" Target="https://drive.google.com/file/d/1rl9K59pAD9OfPGL0dzZ0ZV_3kBkLsxur/view?usp=drive_link" TargetMode="External"/><Relationship Id="rId13" Type="http://schemas.openxmlformats.org/officeDocument/2006/relationships/hyperlink" Target="https://drive.google.com/file/d/129O44nAlXYmO2GlySEEJBzPMrc0rrwiR/view?usp=drive_link" TargetMode="External"/><Relationship Id="rId12" Type="http://schemas.openxmlformats.org/officeDocument/2006/relationships/hyperlink" Target="https://drive.google.com/file/d/1_jexWfq3AZaz9D-_6Tv9PvdH9TfUJ5er/view?usp=drive_link" TargetMode="External"/><Relationship Id="rId1" Type="http://schemas.openxmlformats.org/officeDocument/2006/relationships/hyperlink" Target="https://drive.google.com/file/d/18k5da58rgVPZQzMpIgEpe-pyQJXQqt01/view?usp=drive_link" TargetMode="External"/><Relationship Id="rId2" Type="http://schemas.openxmlformats.org/officeDocument/2006/relationships/hyperlink" Target="https://drive.google.com/file/d/1EZmUdfKdBz6lhkbdP6XcqZozGOxeoO8o/view?usp=sharing" TargetMode="External"/><Relationship Id="rId3" Type="http://schemas.openxmlformats.org/officeDocument/2006/relationships/hyperlink" Target="https://drive.google.com/file/d/1suQEvA-P7tWwrPBd1Cg5rCBOSslnhoXF/view?usp=sharing" TargetMode="External"/><Relationship Id="rId4" Type="http://schemas.openxmlformats.org/officeDocument/2006/relationships/hyperlink" Target="https://drive.google.com/file/d/1E13Kf90gua9FQeP53cbIyv496KcteN9Z/view?usp=sharing" TargetMode="External"/><Relationship Id="rId9" Type="http://schemas.openxmlformats.org/officeDocument/2006/relationships/hyperlink" Target="https://drive.google.com/file/d/19dUseGXZ6XJTUKNvaxr-5aMb-HfMAEHw/view?usp=drive_link" TargetMode="External"/><Relationship Id="rId15" Type="http://schemas.openxmlformats.org/officeDocument/2006/relationships/hyperlink" Target="https://drive.google.com/file/d/1GVobXhM9slzuOemwrSJeKRazq4lrQWU7/view?usp=drive_link" TargetMode="External"/><Relationship Id="rId14" Type="http://schemas.openxmlformats.org/officeDocument/2006/relationships/hyperlink" Target="https://drive.google.com/file/d/1KK6lw5P8I9kXXs5n6csQEKYvv4NQLn0r/view?usp=drive_link" TargetMode="External"/><Relationship Id="rId16" Type="http://schemas.openxmlformats.org/officeDocument/2006/relationships/drawing" Target="../drawings/drawing1.xml"/><Relationship Id="rId5" Type="http://schemas.openxmlformats.org/officeDocument/2006/relationships/hyperlink" Target="https://drive.google.com/file/d/140oqYWgwKX9A181M4wd4WKnT4-nNwPwU/view?usp=sharing" TargetMode="External"/><Relationship Id="rId6" Type="http://schemas.openxmlformats.org/officeDocument/2006/relationships/hyperlink" Target="https://drive.google.com/file/d/11K7r3G5yxc4wRwdbuy5TNArGVRWAhhO8/view?usp=sharing" TargetMode="External"/><Relationship Id="rId18" Type="http://schemas.openxmlformats.org/officeDocument/2006/relationships/table" Target="../tables/table1.xml"/><Relationship Id="rId7" Type="http://schemas.openxmlformats.org/officeDocument/2006/relationships/hyperlink" Target="https://drive.google.com/file/d/1q5CNKf9Besd8O_DwDMh435IjzBhHMy8R/view?usp=drive_link" TargetMode="External"/><Relationship Id="rId8" Type="http://schemas.openxmlformats.org/officeDocument/2006/relationships/hyperlink" Target="https://drive.google.com/file/d/11oU89lmp8Rd9yvO83eiHGOdKSVqAMBbZ/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4ijWwYq1iANIboJD6Hmr4-dIe9nDANHz/view?usp=drive_link" TargetMode="External"/><Relationship Id="rId10" Type="http://schemas.openxmlformats.org/officeDocument/2006/relationships/hyperlink" Target="https://drive.google.com/file/d/1K8kO4n5YYtwInqIiq72eyUuhYQFDvn3p/view?usp=drive_link" TargetMode="External"/><Relationship Id="rId13" Type="http://schemas.openxmlformats.org/officeDocument/2006/relationships/hyperlink" Target="https://drive.google.com/file/d/1P1g42ST6ak__SWBd1r2su_K-EFJu6bGh/view?usp=drive_link" TargetMode="External"/><Relationship Id="rId12" Type="http://schemas.openxmlformats.org/officeDocument/2006/relationships/hyperlink" Target="https://drive.google.com/file/d/1MsHIIRz4BitgfPYrnrlElmME5-PTXkCh/view?usp=drive_link" TargetMode="External"/><Relationship Id="rId1" Type="http://schemas.openxmlformats.org/officeDocument/2006/relationships/hyperlink" Target="https://drive.google.com/file/d/1jpdHQYrpBDSITQhqSBWmTcifJiyU3MIy/view?usp=drive_link" TargetMode="External"/><Relationship Id="rId2" Type="http://schemas.openxmlformats.org/officeDocument/2006/relationships/hyperlink" Target="https://drive.google.com/file/d/1Am4C5VhZzEmghGUBIm6IWTYEARMODUz3/view?usp=drive_link" TargetMode="External"/><Relationship Id="rId3" Type="http://schemas.openxmlformats.org/officeDocument/2006/relationships/hyperlink" Target="https://drive.google.com/file/d/1exmDZrcWTCB5dYCSvmpGhpjVkgSwFjE1/view?usp=drive_link" TargetMode="External"/><Relationship Id="rId4" Type="http://schemas.openxmlformats.org/officeDocument/2006/relationships/hyperlink" Target="https://drive.google.com/file/d/1X_YAZrD22Uis7LwjB3lVJi813706BTZN/view?usp=drive_link" TargetMode="External"/><Relationship Id="rId9" Type="http://schemas.openxmlformats.org/officeDocument/2006/relationships/hyperlink" Target="https://drive.google.com/file/d/1m53m-7xGB0nk4mnzwnPPdH0fSpBbCEx-/view?usp=drive_link" TargetMode="External"/><Relationship Id="rId14" Type="http://schemas.openxmlformats.org/officeDocument/2006/relationships/drawing" Target="../drawings/drawing2.xml"/><Relationship Id="rId16" Type="http://schemas.openxmlformats.org/officeDocument/2006/relationships/table" Target="../tables/table2.xml"/><Relationship Id="rId5" Type="http://schemas.openxmlformats.org/officeDocument/2006/relationships/hyperlink" Target="https://drive.google.com/file/d/14B7e0U1cBlZlnU7h6yKt1GV7X-X13WoP/view?usp=drive_link" TargetMode="External"/><Relationship Id="rId6" Type="http://schemas.openxmlformats.org/officeDocument/2006/relationships/hyperlink" Target="https://drive.google.com/file/d/1pIWEstPzEicirKPe2pPYK7Fh9Dp6cLH3/view?usp=drive_link" TargetMode="External"/><Relationship Id="rId7" Type="http://schemas.openxmlformats.org/officeDocument/2006/relationships/hyperlink" Target="https://drive.google.com/file/d/1s0hHdYHmgJiI5aDa2-RLEy3HcL3fkbxo/view?usp=drive_link" TargetMode="External"/><Relationship Id="rId8" Type="http://schemas.openxmlformats.org/officeDocument/2006/relationships/hyperlink" Target="https://drive.google.com/file/d/16TkMwP6QIbtevQ6RyAXQs86-k_VN50i6/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jntbgri.res.in" TargetMode="External"/><Relationship Id="rId42" Type="http://schemas.openxmlformats.org/officeDocument/2006/relationships/hyperlink" Target="http://www.kfri.res.in" TargetMode="External"/><Relationship Id="rId41" Type="http://schemas.openxmlformats.org/officeDocument/2006/relationships/hyperlink" Target="http://www.mbgips.in" TargetMode="External"/><Relationship Id="rId44" Type="http://schemas.openxmlformats.org/officeDocument/2006/relationships/hyperlink" Target="http://www.natpac.kerala.gov.in" TargetMode="External"/><Relationship Id="rId43" Type="http://schemas.openxmlformats.org/officeDocument/2006/relationships/hyperlink" Target="http://www.natpac.kerala.gov.in" TargetMode="External"/><Relationship Id="rId46" Type="http://schemas.openxmlformats.org/officeDocument/2006/relationships/hyperlink" Target="http://www.natpac.kerala.gov.in" TargetMode="External"/><Relationship Id="rId45" Type="http://schemas.openxmlformats.org/officeDocument/2006/relationships/hyperlink" Target="http://www.natpac.kerala.gov.in" TargetMode="External"/><Relationship Id="rId1" Type="http://schemas.openxmlformats.org/officeDocument/2006/relationships/hyperlink" Target="http://www.mbgips.in" TargetMode="External"/><Relationship Id="rId2" Type="http://schemas.openxmlformats.org/officeDocument/2006/relationships/hyperlink" Target="http://www.kfri.res.in" TargetMode="External"/><Relationship Id="rId3" Type="http://schemas.openxmlformats.org/officeDocument/2006/relationships/hyperlink" Target="http://www.mbgips.in" TargetMode="External"/><Relationship Id="rId4" Type="http://schemas.openxmlformats.org/officeDocument/2006/relationships/hyperlink" Target="http://www.kfri.res.in" TargetMode="External"/><Relationship Id="rId9" Type="http://schemas.openxmlformats.org/officeDocument/2006/relationships/hyperlink" Target="http://www.cwrdm.kerala.gov.in" TargetMode="External"/><Relationship Id="rId48" Type="http://schemas.openxmlformats.org/officeDocument/2006/relationships/hyperlink" Target="http://www.natpac.kerala.gov.in" TargetMode="External"/><Relationship Id="rId47" Type="http://schemas.openxmlformats.org/officeDocument/2006/relationships/hyperlink" Target="http://www.irtc.org.in" TargetMode="External"/><Relationship Id="rId49" Type="http://schemas.openxmlformats.org/officeDocument/2006/relationships/hyperlink" Target="http://www.natpac.kerala.gov.in" TargetMode="External"/><Relationship Id="rId5" Type="http://schemas.openxmlformats.org/officeDocument/2006/relationships/hyperlink" Target="http://www.cwrdm.kerala.gov.in" TargetMode="External"/><Relationship Id="rId6" Type="http://schemas.openxmlformats.org/officeDocument/2006/relationships/hyperlink" Target="http://www.jntbgri.res.in" TargetMode="External"/><Relationship Id="rId7" Type="http://schemas.openxmlformats.org/officeDocument/2006/relationships/hyperlink" Target="http://www.mbgips.in" TargetMode="External"/><Relationship Id="rId8" Type="http://schemas.openxmlformats.org/officeDocument/2006/relationships/hyperlink" Target="http://www.cwrdm.kerala.gov.in" TargetMode="External"/><Relationship Id="rId31" Type="http://schemas.openxmlformats.org/officeDocument/2006/relationships/hyperlink" Target="http://www.iav.kerala.gov.in" TargetMode="External"/><Relationship Id="rId30" Type="http://schemas.openxmlformats.org/officeDocument/2006/relationships/hyperlink" Target="http://www.iav.kerala.gov.in" TargetMode="External"/><Relationship Id="rId33" Type="http://schemas.openxmlformats.org/officeDocument/2006/relationships/hyperlink" Target="http://www.jntbgri.res.in" TargetMode="External"/><Relationship Id="rId32" Type="http://schemas.openxmlformats.org/officeDocument/2006/relationships/hyperlink" Target="http://www.iav.kerala.gov.in" TargetMode="External"/><Relationship Id="rId35" Type="http://schemas.openxmlformats.org/officeDocument/2006/relationships/hyperlink" Target="http://www.jntbgri.res.in" TargetMode="External"/><Relationship Id="rId34" Type="http://schemas.openxmlformats.org/officeDocument/2006/relationships/hyperlink" Target="http://www.jntbgri.res.in" TargetMode="External"/><Relationship Id="rId70" Type="http://schemas.openxmlformats.org/officeDocument/2006/relationships/table" Target="../tables/table3.xml"/><Relationship Id="rId37" Type="http://schemas.openxmlformats.org/officeDocument/2006/relationships/hyperlink" Target="http://www.kfri.res.in" TargetMode="External"/><Relationship Id="rId36" Type="http://schemas.openxmlformats.org/officeDocument/2006/relationships/hyperlink" Target="http://www.coem.kerala.gov.in" TargetMode="External"/><Relationship Id="rId39" Type="http://schemas.openxmlformats.org/officeDocument/2006/relationships/hyperlink" Target="http://www.mbgips.in" TargetMode="External"/><Relationship Id="rId38" Type="http://schemas.openxmlformats.org/officeDocument/2006/relationships/hyperlink" Target="http://www.kfri.res.in" TargetMode="External"/><Relationship Id="rId62" Type="http://schemas.openxmlformats.org/officeDocument/2006/relationships/hyperlink" Target="http://www.iav.kerala.gov.in" TargetMode="External"/><Relationship Id="rId61" Type="http://schemas.openxmlformats.org/officeDocument/2006/relationships/hyperlink" Target="http://www.kfri.res.in" TargetMode="External"/><Relationship Id="rId20" Type="http://schemas.openxmlformats.org/officeDocument/2006/relationships/hyperlink" Target="http://www.cwrdm.kerala.gov.in" TargetMode="External"/><Relationship Id="rId64" Type="http://schemas.openxmlformats.org/officeDocument/2006/relationships/hyperlink" Target="http://www.irtc.org.in" TargetMode="External"/><Relationship Id="rId63" Type="http://schemas.openxmlformats.org/officeDocument/2006/relationships/hyperlink" Target="http://www.natpac.kerala.gov.in" TargetMode="External"/><Relationship Id="rId22" Type="http://schemas.openxmlformats.org/officeDocument/2006/relationships/hyperlink" Target="http://www.kfri.res.in" TargetMode="External"/><Relationship Id="rId66" Type="http://schemas.openxmlformats.org/officeDocument/2006/relationships/hyperlink" Target="http://www.cwrdm.org" TargetMode="External"/><Relationship Id="rId21" Type="http://schemas.openxmlformats.org/officeDocument/2006/relationships/hyperlink" Target="http://www.jntbgri.res.in" TargetMode="External"/><Relationship Id="rId65" Type="http://schemas.openxmlformats.org/officeDocument/2006/relationships/hyperlink" Target="http://www.kscste.kerala.gov.in" TargetMode="External"/><Relationship Id="rId24" Type="http://schemas.openxmlformats.org/officeDocument/2006/relationships/hyperlink" Target="http://www.coem.kerala.gov.in" TargetMode="External"/><Relationship Id="rId68" Type="http://schemas.openxmlformats.org/officeDocument/2006/relationships/drawing" Target="../drawings/drawing3.xml"/><Relationship Id="rId23" Type="http://schemas.openxmlformats.org/officeDocument/2006/relationships/hyperlink" Target="http://www.irtc.org.in" TargetMode="External"/><Relationship Id="rId67" Type="http://schemas.openxmlformats.org/officeDocument/2006/relationships/hyperlink" Target="http://www.cwrdm.org" TargetMode="External"/><Relationship Id="rId60" Type="http://schemas.openxmlformats.org/officeDocument/2006/relationships/hyperlink" Target="http://www.irtc.org.in" TargetMode="External"/><Relationship Id="rId26" Type="http://schemas.openxmlformats.org/officeDocument/2006/relationships/hyperlink" Target="http://www.mbgips.in" TargetMode="External"/><Relationship Id="rId25" Type="http://schemas.openxmlformats.org/officeDocument/2006/relationships/hyperlink" Target="http://www.coem.kerala.gov.in" TargetMode="External"/><Relationship Id="rId28" Type="http://schemas.openxmlformats.org/officeDocument/2006/relationships/hyperlink" Target="http://www.iav.kerala.gov.in" TargetMode="External"/><Relationship Id="rId27" Type="http://schemas.openxmlformats.org/officeDocument/2006/relationships/hyperlink" Target="http://www.iav.kerala.gov.in" TargetMode="External"/><Relationship Id="rId29" Type="http://schemas.openxmlformats.org/officeDocument/2006/relationships/hyperlink" Target="http://www.iav.kerala.gov.in" TargetMode="External"/><Relationship Id="rId51" Type="http://schemas.openxmlformats.org/officeDocument/2006/relationships/hyperlink" Target="http://www.mbgips.in" TargetMode="External"/><Relationship Id="rId50" Type="http://schemas.openxmlformats.org/officeDocument/2006/relationships/hyperlink" Target="http://www.natpac.kerala.gov.in" TargetMode="External"/><Relationship Id="rId53" Type="http://schemas.openxmlformats.org/officeDocument/2006/relationships/hyperlink" Target="http://www.jntbgri.res.in" TargetMode="External"/><Relationship Id="rId52" Type="http://schemas.openxmlformats.org/officeDocument/2006/relationships/hyperlink" Target="http://www.kfri.res.in" TargetMode="External"/><Relationship Id="rId11" Type="http://schemas.openxmlformats.org/officeDocument/2006/relationships/hyperlink" Target="http://www.kfri.res.in" TargetMode="External"/><Relationship Id="rId55" Type="http://schemas.openxmlformats.org/officeDocument/2006/relationships/hyperlink" Target="http://www.kfri.res.in" TargetMode="External"/><Relationship Id="rId10" Type="http://schemas.openxmlformats.org/officeDocument/2006/relationships/hyperlink" Target="http://www.kfri.res.in" TargetMode="External"/><Relationship Id="rId54" Type="http://schemas.openxmlformats.org/officeDocument/2006/relationships/hyperlink" Target="http://www.jntbgri.res.in" TargetMode="External"/><Relationship Id="rId13" Type="http://schemas.openxmlformats.org/officeDocument/2006/relationships/hyperlink" Target="http://www.kfri.res.in" TargetMode="External"/><Relationship Id="rId57" Type="http://schemas.openxmlformats.org/officeDocument/2006/relationships/hyperlink" Target="http://www.iav.kerala.gov.in" TargetMode="External"/><Relationship Id="rId12" Type="http://schemas.openxmlformats.org/officeDocument/2006/relationships/hyperlink" Target="http://www.kfri.res.in" TargetMode="External"/><Relationship Id="rId56" Type="http://schemas.openxmlformats.org/officeDocument/2006/relationships/hyperlink" Target="http://www.mbgips.in" TargetMode="External"/><Relationship Id="rId15" Type="http://schemas.openxmlformats.org/officeDocument/2006/relationships/hyperlink" Target="http://www.cwrdm.kerala.gov.in" TargetMode="External"/><Relationship Id="rId59" Type="http://schemas.openxmlformats.org/officeDocument/2006/relationships/hyperlink" Target="http://www.jntbgri.res.in" TargetMode="External"/><Relationship Id="rId14" Type="http://schemas.openxmlformats.org/officeDocument/2006/relationships/hyperlink" Target="http://www.cwrdm.kerala.gov.in" TargetMode="External"/><Relationship Id="rId58" Type="http://schemas.openxmlformats.org/officeDocument/2006/relationships/hyperlink" Target="http://www.iav.kerala.gov.in" TargetMode="External"/><Relationship Id="rId17" Type="http://schemas.openxmlformats.org/officeDocument/2006/relationships/hyperlink" Target="http://www.cwrdm.kerala.gov.in" TargetMode="External"/><Relationship Id="rId16" Type="http://schemas.openxmlformats.org/officeDocument/2006/relationships/hyperlink" Target="http://www.iccs.res.in" TargetMode="External"/><Relationship Id="rId19" Type="http://schemas.openxmlformats.org/officeDocument/2006/relationships/hyperlink" Target="http://www.irtc.org.in" TargetMode="External"/><Relationship Id="rId18" Type="http://schemas.openxmlformats.org/officeDocument/2006/relationships/hyperlink" Target="http://www.irtc.org.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iist.res.in" TargetMode="External"/><Relationship Id="rId2" Type="http://schemas.openxmlformats.org/officeDocument/2006/relationships/hyperlink" Target="https://www.niist.res.in" TargetMode="External"/><Relationship Id="rId3" Type="http://schemas.openxmlformats.org/officeDocument/2006/relationships/hyperlink" Target="https://www.niist.res.in" TargetMode="External"/><Relationship Id="rId4" Type="http://schemas.openxmlformats.org/officeDocument/2006/relationships/hyperlink" Target="https://www.niist.res.in" TargetMode="External"/><Relationship Id="rId9" Type="http://schemas.openxmlformats.org/officeDocument/2006/relationships/hyperlink" Target="https://www.niist.res.in" TargetMode="External"/><Relationship Id="rId5" Type="http://schemas.openxmlformats.org/officeDocument/2006/relationships/hyperlink" Target="https://www.niist.res.in" TargetMode="External"/><Relationship Id="rId6" Type="http://schemas.openxmlformats.org/officeDocument/2006/relationships/hyperlink" Target="https://www.niist.res.in" TargetMode="External"/><Relationship Id="rId7" Type="http://schemas.openxmlformats.org/officeDocument/2006/relationships/hyperlink" Target="https://www.niist.res.in" TargetMode="External"/><Relationship Id="rId8" Type="http://schemas.openxmlformats.org/officeDocument/2006/relationships/hyperlink" Target="https://www.niist.res.in" TargetMode="External"/><Relationship Id="rId31" Type="http://schemas.openxmlformats.org/officeDocument/2006/relationships/hyperlink" Target="http://www.ncrmi.org" TargetMode="External"/><Relationship Id="rId30" Type="http://schemas.openxmlformats.org/officeDocument/2006/relationships/hyperlink" Target="http://www.ncrmi.org" TargetMode="External"/><Relationship Id="rId33" Type="http://schemas.openxmlformats.org/officeDocument/2006/relationships/drawing" Target="../drawings/drawing5.xml"/><Relationship Id="rId32" Type="http://schemas.openxmlformats.org/officeDocument/2006/relationships/hyperlink" Target="http://www.ncrmi.org" TargetMode="External"/><Relationship Id="rId35" Type="http://schemas.openxmlformats.org/officeDocument/2006/relationships/table" Target="../tables/table4.xml"/><Relationship Id="rId20" Type="http://schemas.openxmlformats.org/officeDocument/2006/relationships/hyperlink" Target="https://www.niist.res.in" TargetMode="External"/><Relationship Id="rId22" Type="http://schemas.openxmlformats.org/officeDocument/2006/relationships/hyperlink" Target="https://www.niist.res.in" TargetMode="External"/><Relationship Id="rId21" Type="http://schemas.openxmlformats.org/officeDocument/2006/relationships/hyperlink" Target="https://www.niist.res.in" TargetMode="External"/><Relationship Id="rId24" Type="http://schemas.openxmlformats.org/officeDocument/2006/relationships/hyperlink" Target="https://www.niist.res.in" TargetMode="External"/><Relationship Id="rId23" Type="http://schemas.openxmlformats.org/officeDocument/2006/relationships/hyperlink" Target="https://www.niist.res.in" TargetMode="External"/><Relationship Id="rId26" Type="http://schemas.openxmlformats.org/officeDocument/2006/relationships/hyperlink" Target="https://www.niist.res.in" TargetMode="External"/><Relationship Id="rId25" Type="http://schemas.openxmlformats.org/officeDocument/2006/relationships/hyperlink" Target="https://www.niist.res.in" TargetMode="External"/><Relationship Id="rId28" Type="http://schemas.openxmlformats.org/officeDocument/2006/relationships/hyperlink" Target="https://www.niist.res.in" TargetMode="External"/><Relationship Id="rId27" Type="http://schemas.openxmlformats.org/officeDocument/2006/relationships/hyperlink" Target="https://www.niist.res.in" TargetMode="External"/><Relationship Id="rId29" Type="http://schemas.openxmlformats.org/officeDocument/2006/relationships/hyperlink" Target="https://www.niist.res.in" TargetMode="External"/><Relationship Id="rId11" Type="http://schemas.openxmlformats.org/officeDocument/2006/relationships/hyperlink" Target="https://www.niist.res.in" TargetMode="External"/><Relationship Id="rId10" Type="http://schemas.openxmlformats.org/officeDocument/2006/relationships/hyperlink" Target="https://www.niist.res.in" TargetMode="External"/><Relationship Id="rId13" Type="http://schemas.openxmlformats.org/officeDocument/2006/relationships/hyperlink" Target="https://www.niist.res.in" TargetMode="External"/><Relationship Id="rId12" Type="http://schemas.openxmlformats.org/officeDocument/2006/relationships/hyperlink" Target="https://www.niist.res.in" TargetMode="External"/><Relationship Id="rId15" Type="http://schemas.openxmlformats.org/officeDocument/2006/relationships/hyperlink" Target="https://www.niist.res.in" TargetMode="External"/><Relationship Id="rId14" Type="http://schemas.openxmlformats.org/officeDocument/2006/relationships/hyperlink" Target="https://www.niist.res.in" TargetMode="External"/><Relationship Id="rId17" Type="http://schemas.openxmlformats.org/officeDocument/2006/relationships/hyperlink" Target="https://www.niist.res.in" TargetMode="External"/><Relationship Id="rId16" Type="http://schemas.openxmlformats.org/officeDocument/2006/relationships/hyperlink" Target="https://www.niist.res.in" TargetMode="External"/><Relationship Id="rId19" Type="http://schemas.openxmlformats.org/officeDocument/2006/relationships/hyperlink" Target="https://www.niist.res.in" TargetMode="External"/><Relationship Id="rId18" Type="http://schemas.openxmlformats.org/officeDocument/2006/relationships/hyperlink" Target="https://www.niist.res.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pcri.icar.gov.in" TargetMode="External"/><Relationship Id="rId2" Type="http://schemas.openxmlformats.org/officeDocument/2006/relationships/hyperlink" Target="https://cpcri.icar.gov.in" TargetMode="External"/><Relationship Id="rId3" Type="http://schemas.openxmlformats.org/officeDocument/2006/relationships/hyperlink" Target="https://cpcri.icar.gov.in" TargetMode="External"/><Relationship Id="rId4" Type="http://schemas.openxmlformats.org/officeDocument/2006/relationships/hyperlink" Target="https://cpcri.icar.gov.in" TargetMode="External"/><Relationship Id="rId9" Type="http://schemas.openxmlformats.org/officeDocument/2006/relationships/hyperlink" Target="https://cpcri.icar.gov.in" TargetMode="External"/><Relationship Id="rId5" Type="http://schemas.openxmlformats.org/officeDocument/2006/relationships/hyperlink" Target="https://cpcri.icar.gov.in" TargetMode="External"/><Relationship Id="rId6" Type="http://schemas.openxmlformats.org/officeDocument/2006/relationships/hyperlink" Target="https://cpcri.icar.gov.in" TargetMode="External"/><Relationship Id="rId7" Type="http://schemas.openxmlformats.org/officeDocument/2006/relationships/hyperlink" Target="https://cpcri.icar.gov.in" TargetMode="External"/><Relationship Id="rId8" Type="http://schemas.openxmlformats.org/officeDocument/2006/relationships/hyperlink" Target="https://cpcri.icar.gov.in" TargetMode="External"/><Relationship Id="rId10" Type="http://schemas.openxmlformats.org/officeDocument/2006/relationships/drawing" Target="../drawings/drawing6.xml"/><Relationship Id="rId12"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2" max="2" width="37.63"/>
    <col customWidth="1" min="3" max="3" width="30.38"/>
    <col customWidth="1" min="4" max="4" width="18.38"/>
    <col customWidth="1" min="5" max="5" width="37.63"/>
    <col customWidth="1" min="6" max="6" width="27.25"/>
    <col customWidth="1" min="7" max="7" width="55.25"/>
    <col customWidth="1" min="8" max="8" width="28.38"/>
    <col customWidth="1" min="9" max="9" width="23.25"/>
    <col customWidth="1" min="10" max="10" width="26.0"/>
    <col customWidth="1" min="11" max="11" width="18.88"/>
    <col customWidth="1" min="12" max="12" width="20.38"/>
    <col customWidth="1" min="13" max="13" width="13.5"/>
    <col customWidth="1" min="14" max="15" width="21.0"/>
    <col customWidth="1" min="16" max="16" width="27.25"/>
    <col customWidth="1" min="17" max="17" width="26.25"/>
  </cols>
  <sheetData>
    <row r="1">
      <c r="A1" s="1"/>
      <c r="B1" s="1"/>
      <c r="C1" s="1"/>
      <c r="D1" s="1"/>
      <c r="E1" s="1"/>
      <c r="F1" s="1"/>
      <c r="G1" s="2"/>
      <c r="H1" s="1"/>
      <c r="I1" s="1"/>
      <c r="J1" s="1"/>
      <c r="K1" s="1"/>
      <c r="L1" s="1"/>
      <c r="M1" s="1"/>
      <c r="N1" s="1"/>
      <c r="O1" s="1"/>
      <c r="P1" s="1"/>
      <c r="Q1" s="3"/>
    </row>
    <row r="2" ht="83.25" customHeight="1">
      <c r="A2" s="4" t="s">
        <v>0</v>
      </c>
      <c r="B2" s="4" t="s">
        <v>1</v>
      </c>
      <c r="C2" s="4" t="s">
        <v>2</v>
      </c>
      <c r="D2" s="4" t="s">
        <v>3</v>
      </c>
      <c r="E2" s="4" t="s">
        <v>4</v>
      </c>
      <c r="F2" s="4" t="s">
        <v>5</v>
      </c>
      <c r="G2" s="5" t="s">
        <v>6</v>
      </c>
      <c r="H2" s="4" t="s">
        <v>7</v>
      </c>
      <c r="I2" s="4" t="s">
        <v>8</v>
      </c>
      <c r="J2" s="4" t="s">
        <v>9</v>
      </c>
      <c r="K2" s="4" t="s">
        <v>10</v>
      </c>
      <c r="L2" s="4" t="s">
        <v>11</v>
      </c>
      <c r="M2" s="4" t="s">
        <v>12</v>
      </c>
      <c r="N2" s="4" t="s">
        <v>13</v>
      </c>
      <c r="O2" s="4" t="s">
        <v>14</v>
      </c>
      <c r="P2" s="4" t="s">
        <v>15</v>
      </c>
      <c r="Q2" s="6" t="s">
        <v>16</v>
      </c>
    </row>
    <row r="3" ht="22.5" customHeight="1">
      <c r="A3" s="7" t="s">
        <v>17</v>
      </c>
      <c r="B3" s="8" t="s">
        <v>18</v>
      </c>
      <c r="C3" s="9" t="s">
        <v>19</v>
      </c>
      <c r="D3" s="9" t="s">
        <v>20</v>
      </c>
      <c r="E3" s="7" t="s">
        <v>21</v>
      </c>
      <c r="F3" s="7" t="s">
        <v>22</v>
      </c>
      <c r="G3" s="8" t="s">
        <v>23</v>
      </c>
      <c r="H3" s="8" t="s">
        <v>24</v>
      </c>
      <c r="I3" s="9" t="s">
        <v>25</v>
      </c>
      <c r="J3" s="9" t="s">
        <v>26</v>
      </c>
      <c r="K3" s="9" t="s">
        <v>26</v>
      </c>
      <c r="L3" s="7" t="s">
        <v>26</v>
      </c>
      <c r="M3" s="7" t="s">
        <v>26</v>
      </c>
      <c r="N3" s="7" t="s">
        <v>27</v>
      </c>
      <c r="O3" s="10">
        <v>1.0</v>
      </c>
      <c r="P3" s="7" t="s">
        <v>28</v>
      </c>
    </row>
    <row r="4" ht="22.5" customHeight="1">
      <c r="A4" s="7" t="s">
        <v>29</v>
      </c>
      <c r="B4" s="8" t="s">
        <v>30</v>
      </c>
      <c r="C4" s="9" t="s">
        <v>19</v>
      </c>
      <c r="D4" s="9" t="s">
        <v>31</v>
      </c>
      <c r="E4" s="7" t="s">
        <v>32</v>
      </c>
      <c r="F4" s="7" t="s">
        <v>33</v>
      </c>
      <c r="G4" s="8" t="s">
        <v>34</v>
      </c>
      <c r="H4" s="8" t="s">
        <v>35</v>
      </c>
      <c r="I4" s="9" t="s">
        <v>25</v>
      </c>
      <c r="J4" s="9" t="s">
        <v>26</v>
      </c>
      <c r="K4" s="9" t="s">
        <v>26</v>
      </c>
      <c r="L4" s="7" t="s">
        <v>26</v>
      </c>
      <c r="M4" s="7" t="s">
        <v>26</v>
      </c>
      <c r="N4" s="7" t="s">
        <v>27</v>
      </c>
      <c r="O4" s="10">
        <v>1.0</v>
      </c>
      <c r="P4" s="7" t="s">
        <v>36</v>
      </c>
    </row>
    <row r="5" ht="22.5" customHeight="1">
      <c r="A5" s="7" t="s">
        <v>37</v>
      </c>
      <c r="B5" s="8" t="s">
        <v>38</v>
      </c>
      <c r="C5" s="9" t="s">
        <v>19</v>
      </c>
      <c r="D5" s="9" t="s">
        <v>31</v>
      </c>
      <c r="E5" s="7" t="s">
        <v>39</v>
      </c>
      <c r="F5" s="7" t="s">
        <v>40</v>
      </c>
      <c r="G5" s="8" t="s">
        <v>41</v>
      </c>
      <c r="H5" s="8" t="s">
        <v>42</v>
      </c>
      <c r="I5" s="9" t="s">
        <v>25</v>
      </c>
      <c r="J5" s="9" t="s">
        <v>26</v>
      </c>
      <c r="K5" s="9" t="s">
        <v>26</v>
      </c>
      <c r="L5" s="7" t="s">
        <v>26</v>
      </c>
      <c r="M5" s="7" t="s">
        <v>26</v>
      </c>
      <c r="N5" s="7" t="s">
        <v>27</v>
      </c>
      <c r="O5" s="10">
        <v>1.0</v>
      </c>
      <c r="P5" s="7" t="s">
        <v>43</v>
      </c>
    </row>
    <row r="6" ht="22.5" customHeight="1">
      <c r="A6" s="7" t="s">
        <v>44</v>
      </c>
      <c r="B6" s="8" t="s">
        <v>45</v>
      </c>
      <c r="C6" s="9" t="s">
        <v>19</v>
      </c>
      <c r="D6" s="9" t="s">
        <v>46</v>
      </c>
      <c r="E6" s="7" t="s">
        <v>47</v>
      </c>
      <c r="F6" s="7" t="s">
        <v>48</v>
      </c>
      <c r="G6" s="8" t="s">
        <v>49</v>
      </c>
      <c r="H6" s="8" t="s">
        <v>50</v>
      </c>
      <c r="I6" s="9" t="s">
        <v>51</v>
      </c>
      <c r="J6" s="9" t="s">
        <v>26</v>
      </c>
      <c r="K6" s="9" t="s">
        <v>26</v>
      </c>
      <c r="L6" s="7" t="s">
        <v>26</v>
      </c>
      <c r="M6" s="7" t="s">
        <v>26</v>
      </c>
      <c r="N6" s="7" t="s">
        <v>27</v>
      </c>
      <c r="O6" s="10">
        <v>1.0</v>
      </c>
      <c r="P6" s="7" t="s">
        <v>52</v>
      </c>
    </row>
    <row r="7" ht="22.5" customHeight="1">
      <c r="A7" s="7" t="s">
        <v>53</v>
      </c>
      <c r="B7" s="8" t="s">
        <v>54</v>
      </c>
      <c r="C7" s="9" t="s">
        <v>19</v>
      </c>
      <c r="D7" s="9" t="s">
        <v>46</v>
      </c>
      <c r="E7" s="7" t="s">
        <v>55</v>
      </c>
      <c r="F7" s="7" t="s">
        <v>56</v>
      </c>
      <c r="G7" s="8" t="s">
        <v>57</v>
      </c>
      <c r="H7" s="8" t="s">
        <v>58</v>
      </c>
      <c r="I7" s="9" t="s">
        <v>51</v>
      </c>
      <c r="J7" s="9" t="s">
        <v>26</v>
      </c>
      <c r="K7" s="9" t="s">
        <v>26</v>
      </c>
      <c r="L7" s="7" t="s">
        <v>26</v>
      </c>
      <c r="M7" s="7" t="s">
        <v>26</v>
      </c>
      <c r="N7" s="7" t="s">
        <v>27</v>
      </c>
      <c r="O7" s="10">
        <v>1.0</v>
      </c>
      <c r="P7" s="7" t="s">
        <v>59</v>
      </c>
    </row>
    <row r="8" ht="22.5" customHeight="1">
      <c r="A8" s="7" t="s">
        <v>60</v>
      </c>
      <c r="B8" s="8" t="s">
        <v>61</v>
      </c>
      <c r="C8" s="9" t="s">
        <v>19</v>
      </c>
      <c r="D8" s="9" t="s">
        <v>20</v>
      </c>
      <c r="E8" s="7" t="s">
        <v>62</v>
      </c>
      <c r="F8" s="7" t="s">
        <v>48</v>
      </c>
      <c r="G8" s="8" t="s">
        <v>63</v>
      </c>
      <c r="H8" s="8" t="s">
        <v>64</v>
      </c>
      <c r="I8" s="9" t="s">
        <v>51</v>
      </c>
      <c r="J8" s="9" t="s">
        <v>26</v>
      </c>
      <c r="K8" s="9" t="s">
        <v>26</v>
      </c>
      <c r="L8" s="7" t="s">
        <v>26</v>
      </c>
      <c r="M8" s="7" t="s">
        <v>26</v>
      </c>
      <c r="N8" s="7" t="s">
        <v>27</v>
      </c>
      <c r="O8" s="10">
        <v>1.0</v>
      </c>
      <c r="P8" s="7" t="s">
        <v>65</v>
      </c>
    </row>
    <row r="9" ht="22.5" customHeight="1">
      <c r="A9" s="7" t="s">
        <v>66</v>
      </c>
      <c r="B9" s="8" t="s">
        <v>67</v>
      </c>
      <c r="C9" s="9" t="s">
        <v>19</v>
      </c>
      <c r="D9" s="9" t="s">
        <v>20</v>
      </c>
      <c r="E9" s="7" t="s">
        <v>68</v>
      </c>
      <c r="F9" s="7" t="s">
        <v>69</v>
      </c>
      <c r="G9" s="8" t="s">
        <v>70</v>
      </c>
      <c r="H9" s="8" t="s">
        <v>71</v>
      </c>
      <c r="I9" s="9" t="s">
        <v>25</v>
      </c>
      <c r="J9" s="9" t="s">
        <v>26</v>
      </c>
      <c r="K9" s="9" t="s">
        <v>26</v>
      </c>
      <c r="L9" s="7" t="s">
        <v>26</v>
      </c>
      <c r="M9" s="7" t="s">
        <v>26</v>
      </c>
      <c r="N9" s="7" t="s">
        <v>27</v>
      </c>
      <c r="O9" s="10">
        <v>2.0</v>
      </c>
      <c r="P9" s="7" t="s">
        <v>72</v>
      </c>
    </row>
    <row r="10" ht="22.5" customHeight="1">
      <c r="A10" s="7" t="s">
        <v>73</v>
      </c>
      <c r="B10" s="8" t="s">
        <v>74</v>
      </c>
      <c r="C10" s="9" t="s">
        <v>19</v>
      </c>
      <c r="D10" s="9" t="s">
        <v>75</v>
      </c>
      <c r="E10" s="7" t="s">
        <v>76</v>
      </c>
      <c r="F10" s="7" t="s">
        <v>77</v>
      </c>
      <c r="G10" s="8" t="s">
        <v>78</v>
      </c>
      <c r="H10" s="8" t="s">
        <v>79</v>
      </c>
      <c r="I10" s="9" t="s">
        <v>25</v>
      </c>
      <c r="J10" s="9" t="s">
        <v>26</v>
      </c>
      <c r="K10" s="9" t="s">
        <v>26</v>
      </c>
      <c r="L10" s="7" t="s">
        <v>26</v>
      </c>
      <c r="M10" s="7" t="s">
        <v>26</v>
      </c>
      <c r="N10" s="7" t="s">
        <v>27</v>
      </c>
      <c r="O10" s="10">
        <v>2.0</v>
      </c>
      <c r="P10" s="7" t="s">
        <v>80</v>
      </c>
    </row>
    <row r="11" ht="22.5" customHeight="1">
      <c r="A11" s="7" t="s">
        <v>81</v>
      </c>
      <c r="B11" s="8" t="s">
        <v>82</v>
      </c>
      <c r="C11" s="9" t="s">
        <v>19</v>
      </c>
      <c r="D11" s="9" t="s">
        <v>75</v>
      </c>
      <c r="E11" s="7" t="s">
        <v>32</v>
      </c>
      <c r="F11" s="7" t="s">
        <v>83</v>
      </c>
      <c r="G11" s="8" t="s">
        <v>84</v>
      </c>
      <c r="H11" s="8" t="s">
        <v>85</v>
      </c>
      <c r="I11" s="9" t="s">
        <v>25</v>
      </c>
      <c r="J11" s="9" t="s">
        <v>26</v>
      </c>
      <c r="K11" s="9" t="s">
        <v>26</v>
      </c>
      <c r="L11" s="7" t="s">
        <v>26</v>
      </c>
      <c r="M11" s="7" t="s">
        <v>26</v>
      </c>
      <c r="N11" s="7" t="s">
        <v>27</v>
      </c>
      <c r="O11" s="10">
        <v>2.0</v>
      </c>
      <c r="P11" s="7" t="s">
        <v>86</v>
      </c>
    </row>
    <row r="12" ht="22.5" customHeight="1">
      <c r="A12" s="7" t="s">
        <v>87</v>
      </c>
      <c r="B12" s="8" t="s">
        <v>88</v>
      </c>
      <c r="C12" s="9" t="s">
        <v>19</v>
      </c>
      <c r="D12" s="9" t="s">
        <v>75</v>
      </c>
      <c r="E12" s="7" t="s">
        <v>89</v>
      </c>
      <c r="F12" s="7" t="s">
        <v>90</v>
      </c>
      <c r="G12" s="8" t="s">
        <v>91</v>
      </c>
      <c r="H12" s="8" t="s">
        <v>92</v>
      </c>
      <c r="I12" s="9" t="s">
        <v>25</v>
      </c>
      <c r="J12" s="9" t="s">
        <v>26</v>
      </c>
      <c r="K12" s="9" t="s">
        <v>26</v>
      </c>
      <c r="L12" s="7" t="s">
        <v>26</v>
      </c>
      <c r="M12" s="7" t="s">
        <v>26</v>
      </c>
      <c r="N12" s="7" t="s">
        <v>27</v>
      </c>
      <c r="O12" s="10">
        <v>2.0</v>
      </c>
      <c r="P12" s="7" t="s">
        <v>93</v>
      </c>
    </row>
    <row r="13" ht="22.5" customHeight="1">
      <c r="A13" s="7" t="s">
        <v>94</v>
      </c>
      <c r="B13" s="8" t="s">
        <v>95</v>
      </c>
      <c r="C13" s="9" t="s">
        <v>19</v>
      </c>
      <c r="D13" s="9" t="s">
        <v>75</v>
      </c>
      <c r="E13" s="7" t="s">
        <v>89</v>
      </c>
      <c r="F13" s="7" t="s">
        <v>96</v>
      </c>
      <c r="G13" s="8" t="s">
        <v>97</v>
      </c>
      <c r="H13" s="8" t="s">
        <v>98</v>
      </c>
      <c r="I13" s="9" t="s">
        <v>25</v>
      </c>
      <c r="J13" s="9" t="s">
        <v>26</v>
      </c>
      <c r="K13" s="9" t="s">
        <v>26</v>
      </c>
      <c r="L13" s="7" t="s">
        <v>26</v>
      </c>
      <c r="M13" s="7" t="s">
        <v>26</v>
      </c>
      <c r="N13" s="7" t="s">
        <v>27</v>
      </c>
      <c r="O13" s="10">
        <v>2.0</v>
      </c>
      <c r="P13" s="7" t="s">
        <v>99</v>
      </c>
    </row>
    <row r="14" ht="22.5" customHeight="1">
      <c r="A14" s="7" t="s">
        <v>100</v>
      </c>
      <c r="B14" s="8" t="s">
        <v>101</v>
      </c>
      <c r="C14" s="9" t="s">
        <v>19</v>
      </c>
      <c r="D14" s="9" t="s">
        <v>75</v>
      </c>
      <c r="E14" s="7" t="s">
        <v>102</v>
      </c>
      <c r="F14" s="7" t="s">
        <v>103</v>
      </c>
      <c r="G14" s="8" t="s">
        <v>104</v>
      </c>
      <c r="H14" s="8" t="s">
        <v>105</v>
      </c>
      <c r="I14" s="9" t="s">
        <v>51</v>
      </c>
      <c r="J14" s="9" t="s">
        <v>26</v>
      </c>
      <c r="K14" s="9" t="s">
        <v>26</v>
      </c>
      <c r="L14" s="7" t="s">
        <v>26</v>
      </c>
      <c r="M14" s="7" t="s">
        <v>26</v>
      </c>
      <c r="N14" s="7" t="s">
        <v>27</v>
      </c>
      <c r="O14" s="10">
        <v>2.0</v>
      </c>
      <c r="P14" s="7" t="s">
        <v>106</v>
      </c>
    </row>
    <row r="15" ht="22.5" customHeight="1">
      <c r="A15" s="7" t="s">
        <v>107</v>
      </c>
      <c r="B15" s="8" t="s">
        <v>108</v>
      </c>
      <c r="C15" s="9" t="s">
        <v>19</v>
      </c>
      <c r="D15" s="9" t="s">
        <v>75</v>
      </c>
      <c r="E15" s="7" t="s">
        <v>109</v>
      </c>
      <c r="F15" s="7" t="s">
        <v>110</v>
      </c>
      <c r="G15" s="8" t="s">
        <v>111</v>
      </c>
      <c r="H15" s="8" t="s">
        <v>112</v>
      </c>
      <c r="I15" s="9" t="s">
        <v>51</v>
      </c>
      <c r="J15" s="9" t="s">
        <v>26</v>
      </c>
      <c r="K15" s="9" t="s">
        <v>26</v>
      </c>
      <c r="L15" s="7" t="s">
        <v>26</v>
      </c>
      <c r="M15" s="7" t="s">
        <v>26</v>
      </c>
      <c r="N15" s="7" t="s">
        <v>27</v>
      </c>
      <c r="O15" s="10">
        <v>2.0</v>
      </c>
      <c r="P15" s="7" t="s">
        <v>113</v>
      </c>
    </row>
    <row r="16" ht="22.5" customHeight="1">
      <c r="A16" s="7" t="s">
        <v>114</v>
      </c>
      <c r="B16" s="8" t="s">
        <v>115</v>
      </c>
      <c r="C16" s="9" t="s">
        <v>19</v>
      </c>
      <c r="D16" s="9" t="s">
        <v>75</v>
      </c>
      <c r="E16" s="7" t="s">
        <v>116</v>
      </c>
      <c r="F16" s="7" t="s">
        <v>117</v>
      </c>
      <c r="G16" s="8" t="s">
        <v>118</v>
      </c>
      <c r="H16" s="8" t="s">
        <v>119</v>
      </c>
      <c r="I16" s="9" t="s">
        <v>25</v>
      </c>
      <c r="J16" s="9" t="s">
        <v>26</v>
      </c>
      <c r="K16" s="9" t="s">
        <v>26</v>
      </c>
      <c r="L16" s="7" t="s">
        <v>26</v>
      </c>
      <c r="M16" s="7" t="s">
        <v>26</v>
      </c>
      <c r="N16" s="7" t="s">
        <v>27</v>
      </c>
      <c r="O16" s="10">
        <v>2.0</v>
      </c>
      <c r="P16" s="7" t="s">
        <v>120</v>
      </c>
    </row>
    <row r="17" ht="22.5" customHeight="1">
      <c r="A17" s="7" t="s">
        <v>121</v>
      </c>
      <c r="B17" s="8" t="s">
        <v>122</v>
      </c>
      <c r="C17" s="9" t="s">
        <v>19</v>
      </c>
      <c r="D17" s="9" t="s">
        <v>75</v>
      </c>
      <c r="E17" s="7" t="s">
        <v>123</v>
      </c>
      <c r="F17" s="7" t="s">
        <v>124</v>
      </c>
      <c r="G17" s="8" t="s">
        <v>125</v>
      </c>
      <c r="H17" s="8" t="s">
        <v>119</v>
      </c>
      <c r="I17" s="9" t="s">
        <v>25</v>
      </c>
      <c r="J17" s="9" t="s">
        <v>26</v>
      </c>
      <c r="K17" s="9" t="s">
        <v>26</v>
      </c>
      <c r="L17" s="7" t="s">
        <v>26</v>
      </c>
      <c r="M17" s="7" t="s">
        <v>26</v>
      </c>
      <c r="N17" s="7" t="s">
        <v>27</v>
      </c>
      <c r="O17" s="10">
        <v>2.0</v>
      </c>
      <c r="P17" s="7" t="s">
        <v>126</v>
      </c>
    </row>
    <row r="18" ht="22.5" customHeight="1">
      <c r="A18" s="7" t="s">
        <v>127</v>
      </c>
      <c r="B18" s="8" t="s">
        <v>128</v>
      </c>
      <c r="C18" s="9" t="s">
        <v>129</v>
      </c>
      <c r="D18" s="9" t="s">
        <v>31</v>
      </c>
      <c r="E18" s="7" t="s">
        <v>39</v>
      </c>
      <c r="F18" s="7" t="s">
        <v>130</v>
      </c>
      <c r="G18" s="11" t="s">
        <v>131</v>
      </c>
      <c r="H18" s="8" t="s">
        <v>132</v>
      </c>
      <c r="I18" s="9" t="s">
        <v>25</v>
      </c>
      <c r="J18" s="9" t="s">
        <v>26</v>
      </c>
      <c r="K18" s="9" t="s">
        <v>26</v>
      </c>
      <c r="L18" s="7" t="s">
        <v>26</v>
      </c>
      <c r="M18" s="7" t="s">
        <v>26</v>
      </c>
      <c r="N18" s="7" t="s">
        <v>27</v>
      </c>
      <c r="O18" s="10">
        <v>3.0</v>
      </c>
      <c r="P18" s="7" t="s">
        <v>133</v>
      </c>
      <c r="Q18" s="12" t="s">
        <v>134</v>
      </c>
    </row>
    <row r="19" ht="22.5" customHeight="1">
      <c r="A19" s="7" t="s">
        <v>135</v>
      </c>
      <c r="B19" s="8" t="s">
        <v>136</v>
      </c>
      <c r="C19" s="9" t="s">
        <v>129</v>
      </c>
      <c r="D19" s="9" t="s">
        <v>31</v>
      </c>
      <c r="E19" s="7" t="s">
        <v>137</v>
      </c>
      <c r="F19" s="7" t="s">
        <v>138</v>
      </c>
      <c r="G19" s="8" t="s">
        <v>139</v>
      </c>
      <c r="H19" s="8" t="s">
        <v>140</v>
      </c>
      <c r="I19" s="9" t="s">
        <v>25</v>
      </c>
      <c r="J19" s="9" t="s">
        <v>26</v>
      </c>
      <c r="K19" s="9" t="s">
        <v>26</v>
      </c>
      <c r="L19" s="7" t="s">
        <v>26</v>
      </c>
      <c r="M19" s="7" t="s">
        <v>26</v>
      </c>
      <c r="N19" s="7" t="s">
        <v>27</v>
      </c>
      <c r="O19" s="10">
        <v>3.0</v>
      </c>
      <c r="P19" s="7" t="s">
        <v>141</v>
      </c>
      <c r="Q19" s="12" t="s">
        <v>142</v>
      </c>
    </row>
    <row r="20" ht="22.5" customHeight="1">
      <c r="A20" s="7" t="s">
        <v>143</v>
      </c>
      <c r="B20" s="8" t="s">
        <v>144</v>
      </c>
      <c r="C20" s="9" t="s">
        <v>129</v>
      </c>
      <c r="D20" s="9" t="s">
        <v>31</v>
      </c>
      <c r="E20" s="7" t="s">
        <v>137</v>
      </c>
      <c r="F20" s="7" t="s">
        <v>145</v>
      </c>
      <c r="G20" s="8" t="s">
        <v>146</v>
      </c>
      <c r="H20" s="8" t="s">
        <v>147</v>
      </c>
      <c r="I20" s="9" t="s">
        <v>25</v>
      </c>
      <c r="J20" s="9" t="s">
        <v>26</v>
      </c>
      <c r="K20" s="9" t="s">
        <v>26</v>
      </c>
      <c r="L20" s="7" t="s">
        <v>26</v>
      </c>
      <c r="M20" s="7" t="s">
        <v>26</v>
      </c>
      <c r="N20" s="7" t="s">
        <v>27</v>
      </c>
      <c r="O20" s="10">
        <v>3.0</v>
      </c>
      <c r="P20" s="7" t="s">
        <v>148</v>
      </c>
      <c r="Q20" s="12" t="s">
        <v>149</v>
      </c>
    </row>
    <row r="21" ht="22.5" customHeight="1">
      <c r="A21" s="7" t="s">
        <v>150</v>
      </c>
      <c r="B21" s="8" t="s">
        <v>151</v>
      </c>
      <c r="C21" s="9" t="s">
        <v>129</v>
      </c>
      <c r="D21" s="9" t="s">
        <v>31</v>
      </c>
      <c r="E21" s="7" t="s">
        <v>137</v>
      </c>
      <c r="F21" s="7" t="s">
        <v>152</v>
      </c>
      <c r="G21" s="8" t="s">
        <v>153</v>
      </c>
      <c r="H21" s="8" t="s">
        <v>154</v>
      </c>
      <c r="I21" s="9" t="s">
        <v>25</v>
      </c>
      <c r="J21" s="9" t="s">
        <v>26</v>
      </c>
      <c r="K21" s="9" t="s">
        <v>26</v>
      </c>
      <c r="L21" s="7" t="s">
        <v>26</v>
      </c>
      <c r="M21" s="7" t="s">
        <v>26</v>
      </c>
      <c r="N21" s="7" t="s">
        <v>27</v>
      </c>
      <c r="O21" s="10">
        <v>3.0</v>
      </c>
      <c r="P21" s="7" t="s">
        <v>155</v>
      </c>
      <c r="Q21" s="12" t="s">
        <v>156</v>
      </c>
    </row>
    <row r="22" ht="22.5" customHeight="1">
      <c r="A22" s="7" t="s">
        <v>157</v>
      </c>
      <c r="B22" s="8" t="s">
        <v>158</v>
      </c>
      <c r="C22" s="9" t="s">
        <v>129</v>
      </c>
      <c r="D22" s="9" t="s">
        <v>31</v>
      </c>
      <c r="E22" s="7" t="s">
        <v>137</v>
      </c>
      <c r="F22" s="7" t="s">
        <v>159</v>
      </c>
      <c r="G22" s="8" t="s">
        <v>160</v>
      </c>
      <c r="H22" s="8" t="s">
        <v>161</v>
      </c>
      <c r="I22" s="9" t="s">
        <v>25</v>
      </c>
      <c r="J22" s="9" t="s">
        <v>26</v>
      </c>
      <c r="K22" s="9" t="s">
        <v>26</v>
      </c>
      <c r="L22" s="7" t="s">
        <v>26</v>
      </c>
      <c r="M22" s="7" t="s">
        <v>26</v>
      </c>
      <c r="N22" s="7" t="s">
        <v>27</v>
      </c>
      <c r="O22" s="10">
        <v>4.0</v>
      </c>
      <c r="P22" s="7" t="s">
        <v>162</v>
      </c>
      <c r="Q22" s="12" t="s">
        <v>163</v>
      </c>
    </row>
    <row r="23" ht="22.5" customHeight="1">
      <c r="A23" s="7" t="s">
        <v>164</v>
      </c>
      <c r="B23" s="8" t="s">
        <v>165</v>
      </c>
      <c r="C23" s="9" t="s">
        <v>129</v>
      </c>
      <c r="D23" s="9" t="s">
        <v>31</v>
      </c>
      <c r="E23" s="7" t="s">
        <v>166</v>
      </c>
      <c r="F23" s="7" t="s">
        <v>167</v>
      </c>
      <c r="G23" s="8" t="s">
        <v>168</v>
      </c>
      <c r="H23" s="8" t="s">
        <v>169</v>
      </c>
      <c r="I23" s="9" t="s">
        <v>51</v>
      </c>
      <c r="J23" s="9" t="s">
        <v>26</v>
      </c>
      <c r="K23" s="9" t="s">
        <v>26</v>
      </c>
      <c r="L23" s="7" t="s">
        <v>26</v>
      </c>
      <c r="M23" s="7" t="s">
        <v>26</v>
      </c>
      <c r="N23" s="7" t="s">
        <v>27</v>
      </c>
      <c r="O23" s="10">
        <v>4.0</v>
      </c>
      <c r="P23" s="7" t="s">
        <v>170</v>
      </c>
      <c r="Q23" s="13" t="s">
        <v>171</v>
      </c>
    </row>
    <row r="24" ht="22.5" customHeight="1">
      <c r="A24" s="7" t="s">
        <v>172</v>
      </c>
      <c r="B24" s="8" t="s">
        <v>173</v>
      </c>
      <c r="C24" s="9" t="s">
        <v>129</v>
      </c>
      <c r="D24" s="9" t="s">
        <v>174</v>
      </c>
      <c r="E24" s="7" t="s">
        <v>175</v>
      </c>
      <c r="F24" s="7" t="s">
        <v>176</v>
      </c>
      <c r="G24" s="8" t="s">
        <v>177</v>
      </c>
      <c r="H24" s="8" t="s">
        <v>178</v>
      </c>
      <c r="I24" s="9" t="s">
        <v>25</v>
      </c>
      <c r="J24" s="9" t="s">
        <v>26</v>
      </c>
      <c r="K24" s="9" t="s">
        <v>26</v>
      </c>
      <c r="L24" s="7" t="s">
        <v>26</v>
      </c>
      <c r="M24" s="7" t="s">
        <v>26</v>
      </c>
      <c r="N24" s="7" t="s">
        <v>27</v>
      </c>
      <c r="O24" s="10">
        <v>4.0</v>
      </c>
      <c r="P24" s="7" t="s">
        <v>179</v>
      </c>
      <c r="Q24" s="12" t="s">
        <v>180</v>
      </c>
    </row>
    <row r="25" ht="22.5" customHeight="1">
      <c r="A25" s="7" t="s">
        <v>181</v>
      </c>
      <c r="B25" s="8" t="s">
        <v>182</v>
      </c>
      <c r="C25" s="9" t="s">
        <v>129</v>
      </c>
      <c r="D25" s="9" t="s">
        <v>183</v>
      </c>
      <c r="E25" s="7" t="s">
        <v>184</v>
      </c>
      <c r="F25" s="7" t="s">
        <v>185</v>
      </c>
      <c r="G25" s="8" t="s">
        <v>186</v>
      </c>
      <c r="H25" s="8" t="s">
        <v>187</v>
      </c>
      <c r="I25" s="9" t="s">
        <v>51</v>
      </c>
      <c r="J25" s="9" t="s">
        <v>26</v>
      </c>
      <c r="K25" s="9" t="s">
        <v>26</v>
      </c>
      <c r="L25" s="7" t="s">
        <v>26</v>
      </c>
      <c r="M25" s="7" t="s">
        <v>26</v>
      </c>
      <c r="N25" s="7" t="s">
        <v>27</v>
      </c>
      <c r="O25" s="10">
        <v>4.0</v>
      </c>
      <c r="P25" s="7" t="s">
        <v>188</v>
      </c>
    </row>
    <row r="26" ht="22.5" customHeight="1">
      <c r="A26" s="7" t="s">
        <v>189</v>
      </c>
      <c r="B26" s="7" t="s">
        <v>190</v>
      </c>
      <c r="C26" s="9" t="s">
        <v>129</v>
      </c>
      <c r="D26" s="9" t="s">
        <v>191</v>
      </c>
      <c r="E26" s="7" t="s">
        <v>192</v>
      </c>
      <c r="F26" s="7" t="s">
        <v>193</v>
      </c>
      <c r="G26" s="8" t="s">
        <v>194</v>
      </c>
      <c r="H26" s="8" t="s">
        <v>195</v>
      </c>
      <c r="I26" s="9" t="s">
        <v>25</v>
      </c>
      <c r="J26" s="9" t="s">
        <v>26</v>
      </c>
      <c r="K26" s="9" t="s">
        <v>26</v>
      </c>
      <c r="L26" s="7" t="s">
        <v>26</v>
      </c>
      <c r="M26" s="7" t="s">
        <v>26</v>
      </c>
      <c r="N26" s="7" t="s">
        <v>27</v>
      </c>
      <c r="O26" s="10">
        <v>5.0</v>
      </c>
      <c r="P26" s="7" t="s">
        <v>196</v>
      </c>
    </row>
    <row r="27" ht="22.5" customHeight="1">
      <c r="A27" s="7" t="s">
        <v>197</v>
      </c>
      <c r="B27" s="8" t="s">
        <v>198</v>
      </c>
      <c r="C27" s="9" t="s">
        <v>129</v>
      </c>
      <c r="D27" s="9" t="s">
        <v>191</v>
      </c>
      <c r="E27" s="7" t="s">
        <v>199</v>
      </c>
      <c r="F27" s="7" t="s">
        <v>200</v>
      </c>
      <c r="G27" s="8" t="s">
        <v>201</v>
      </c>
      <c r="H27" s="8" t="s">
        <v>202</v>
      </c>
      <c r="I27" s="9" t="s">
        <v>25</v>
      </c>
      <c r="J27" s="9" t="s">
        <v>26</v>
      </c>
      <c r="K27" s="9" t="s">
        <v>26</v>
      </c>
      <c r="L27" s="7" t="s">
        <v>26</v>
      </c>
      <c r="M27" s="7" t="s">
        <v>26</v>
      </c>
      <c r="N27" s="7" t="s">
        <v>27</v>
      </c>
      <c r="O27" s="10">
        <v>5.0</v>
      </c>
      <c r="P27" s="7" t="s">
        <v>203</v>
      </c>
    </row>
    <row r="28" ht="22.5" customHeight="1">
      <c r="A28" s="7" t="s">
        <v>204</v>
      </c>
      <c r="B28" s="8" t="s">
        <v>205</v>
      </c>
      <c r="C28" s="9" t="s">
        <v>129</v>
      </c>
      <c r="D28" s="9" t="s">
        <v>31</v>
      </c>
      <c r="E28" s="7" t="s">
        <v>206</v>
      </c>
      <c r="F28" s="7" t="s">
        <v>207</v>
      </c>
      <c r="G28" s="8" t="s">
        <v>208</v>
      </c>
      <c r="H28" s="8" t="s">
        <v>209</v>
      </c>
      <c r="I28" s="9" t="s">
        <v>25</v>
      </c>
      <c r="J28" s="9" t="s">
        <v>26</v>
      </c>
      <c r="K28" s="9" t="s">
        <v>26</v>
      </c>
      <c r="L28" s="7" t="s">
        <v>26</v>
      </c>
      <c r="M28" s="7" t="s">
        <v>26</v>
      </c>
      <c r="N28" s="7" t="s">
        <v>27</v>
      </c>
      <c r="O28" s="10">
        <v>5.0</v>
      </c>
      <c r="P28" s="7" t="s">
        <v>210</v>
      </c>
    </row>
    <row r="29" ht="22.5" customHeight="1">
      <c r="A29" s="7" t="s">
        <v>211</v>
      </c>
      <c r="B29" s="8" t="s">
        <v>212</v>
      </c>
      <c r="C29" s="9" t="s">
        <v>129</v>
      </c>
      <c r="D29" s="9" t="s">
        <v>213</v>
      </c>
      <c r="E29" s="7" t="s">
        <v>214</v>
      </c>
      <c r="F29" s="7" t="s">
        <v>215</v>
      </c>
      <c r="G29" s="8" t="s">
        <v>216</v>
      </c>
      <c r="H29" s="7" t="s">
        <v>217</v>
      </c>
      <c r="I29" s="9" t="s">
        <v>25</v>
      </c>
      <c r="J29" s="9" t="s">
        <v>26</v>
      </c>
      <c r="K29" s="9" t="s">
        <v>26</v>
      </c>
      <c r="L29" s="7" t="s">
        <v>26</v>
      </c>
      <c r="M29" s="7" t="s">
        <v>26</v>
      </c>
      <c r="N29" s="7" t="s">
        <v>27</v>
      </c>
      <c r="O29" s="10">
        <v>5.0</v>
      </c>
      <c r="P29" s="7" t="s">
        <v>218</v>
      </c>
    </row>
    <row r="30" ht="22.5" customHeight="1">
      <c r="A30" s="7" t="s">
        <v>219</v>
      </c>
      <c r="B30" s="8" t="s">
        <v>220</v>
      </c>
      <c r="C30" s="9" t="s">
        <v>129</v>
      </c>
      <c r="D30" s="9" t="s">
        <v>75</v>
      </c>
      <c r="E30" s="7" t="s">
        <v>221</v>
      </c>
      <c r="F30" s="7" t="s">
        <v>222</v>
      </c>
      <c r="G30" s="8" t="s">
        <v>223</v>
      </c>
      <c r="H30" s="7" t="s">
        <v>224</v>
      </c>
      <c r="I30" s="9" t="s">
        <v>25</v>
      </c>
      <c r="J30" s="9" t="s">
        <v>26</v>
      </c>
      <c r="K30" s="9" t="s">
        <v>26</v>
      </c>
      <c r="L30" s="7" t="s">
        <v>26</v>
      </c>
      <c r="M30" s="7" t="s">
        <v>26</v>
      </c>
      <c r="N30" s="7" t="s">
        <v>27</v>
      </c>
      <c r="O30" s="10">
        <v>5.0</v>
      </c>
      <c r="P30" s="7" t="s">
        <v>225</v>
      </c>
    </row>
    <row r="31" ht="22.5" customHeight="1">
      <c r="A31" s="7" t="s">
        <v>226</v>
      </c>
      <c r="B31" s="8" t="s">
        <v>227</v>
      </c>
      <c r="C31" s="9" t="s">
        <v>129</v>
      </c>
      <c r="D31" s="9" t="s">
        <v>75</v>
      </c>
      <c r="E31" s="7" t="s">
        <v>228</v>
      </c>
      <c r="F31" s="7" t="s">
        <v>229</v>
      </c>
      <c r="G31" s="8" t="s">
        <v>230</v>
      </c>
      <c r="H31" s="7" t="s">
        <v>231</v>
      </c>
      <c r="I31" s="9" t="s">
        <v>51</v>
      </c>
      <c r="J31" s="9" t="s">
        <v>26</v>
      </c>
      <c r="K31" s="9" t="s">
        <v>232</v>
      </c>
      <c r="L31" s="7" t="s">
        <v>26</v>
      </c>
      <c r="M31" s="7" t="s">
        <v>26</v>
      </c>
      <c r="N31" s="7" t="s">
        <v>27</v>
      </c>
      <c r="O31" s="10">
        <v>5.0</v>
      </c>
      <c r="P31" s="7" t="s">
        <v>233</v>
      </c>
    </row>
    <row r="32" ht="22.5" customHeight="1">
      <c r="A32" s="7" t="s">
        <v>234</v>
      </c>
      <c r="B32" s="8" t="s">
        <v>235</v>
      </c>
      <c r="C32" s="9" t="s">
        <v>236</v>
      </c>
      <c r="D32" s="9" t="s">
        <v>31</v>
      </c>
      <c r="E32" s="7" t="s">
        <v>237</v>
      </c>
      <c r="F32" s="7" t="s">
        <v>238</v>
      </c>
      <c r="G32" s="8" t="s">
        <v>239</v>
      </c>
      <c r="H32" s="7" t="s">
        <v>240</v>
      </c>
      <c r="I32" s="9" t="s">
        <v>25</v>
      </c>
      <c r="J32" s="9" t="s">
        <v>26</v>
      </c>
      <c r="K32" s="9" t="s">
        <v>26</v>
      </c>
      <c r="L32" s="7" t="s">
        <v>26</v>
      </c>
      <c r="M32" s="7" t="s">
        <v>26</v>
      </c>
      <c r="N32" s="7" t="s">
        <v>27</v>
      </c>
      <c r="O32" s="14"/>
      <c r="P32" s="7" t="s">
        <v>241</v>
      </c>
      <c r="Q32" s="12" t="s">
        <v>242</v>
      </c>
    </row>
    <row r="33" ht="22.5" customHeight="1">
      <c r="A33" s="7" t="s">
        <v>243</v>
      </c>
      <c r="B33" s="8" t="s">
        <v>244</v>
      </c>
      <c r="C33" s="9" t="s">
        <v>236</v>
      </c>
      <c r="D33" s="9" t="s">
        <v>31</v>
      </c>
      <c r="E33" s="7" t="s">
        <v>245</v>
      </c>
      <c r="F33" s="7" t="s">
        <v>246</v>
      </c>
      <c r="G33" s="8" t="s">
        <v>247</v>
      </c>
      <c r="H33" s="7" t="s">
        <v>248</v>
      </c>
      <c r="I33" s="9" t="s">
        <v>25</v>
      </c>
      <c r="J33" s="9" t="s">
        <v>26</v>
      </c>
      <c r="K33" s="9" t="s">
        <v>26</v>
      </c>
      <c r="L33" s="7" t="s">
        <v>26</v>
      </c>
      <c r="M33" s="7" t="s">
        <v>26</v>
      </c>
      <c r="N33" s="7" t="s">
        <v>27</v>
      </c>
      <c r="O33" s="10">
        <v>6.0</v>
      </c>
      <c r="P33" s="7" t="s">
        <v>249</v>
      </c>
    </row>
    <row r="34" ht="22.5" customHeight="1">
      <c r="A34" s="7" t="s">
        <v>250</v>
      </c>
      <c r="B34" s="8" t="s">
        <v>251</v>
      </c>
      <c r="C34" s="9" t="s">
        <v>236</v>
      </c>
      <c r="D34" s="9" t="s">
        <v>252</v>
      </c>
      <c r="E34" s="7" t="s">
        <v>253</v>
      </c>
      <c r="F34" s="7" t="s">
        <v>254</v>
      </c>
      <c r="G34" s="8" t="s">
        <v>255</v>
      </c>
      <c r="H34" s="7" t="s">
        <v>256</v>
      </c>
      <c r="I34" s="9" t="s">
        <v>25</v>
      </c>
      <c r="J34" s="9" t="s">
        <v>26</v>
      </c>
      <c r="K34" s="9" t="s">
        <v>26</v>
      </c>
      <c r="L34" s="7" t="s">
        <v>26</v>
      </c>
      <c r="M34" s="7" t="s">
        <v>26</v>
      </c>
      <c r="N34" s="7" t="s">
        <v>27</v>
      </c>
      <c r="O34" s="10">
        <v>7.0</v>
      </c>
      <c r="P34" s="7" t="s">
        <v>257</v>
      </c>
    </row>
    <row r="35" ht="22.5" customHeight="1">
      <c r="A35" s="7" t="s">
        <v>258</v>
      </c>
      <c r="B35" s="8" t="s">
        <v>259</v>
      </c>
      <c r="C35" s="9" t="s">
        <v>236</v>
      </c>
      <c r="D35" s="9" t="s">
        <v>252</v>
      </c>
      <c r="E35" s="7" t="s">
        <v>260</v>
      </c>
      <c r="F35" s="7" t="s">
        <v>261</v>
      </c>
      <c r="G35" s="8" t="s">
        <v>262</v>
      </c>
      <c r="H35" s="7" t="s">
        <v>263</v>
      </c>
      <c r="I35" s="9" t="s">
        <v>25</v>
      </c>
      <c r="J35" s="9" t="s">
        <v>26</v>
      </c>
      <c r="K35" s="9" t="s">
        <v>26</v>
      </c>
      <c r="L35" s="7" t="s">
        <v>26</v>
      </c>
      <c r="M35" s="7" t="s">
        <v>26</v>
      </c>
      <c r="N35" s="7" t="s">
        <v>27</v>
      </c>
      <c r="O35" s="10">
        <v>7.0</v>
      </c>
      <c r="P35" s="7" t="s">
        <v>264</v>
      </c>
      <c r="Q35" s="12" t="s">
        <v>265</v>
      </c>
    </row>
    <row r="36" ht="22.5" customHeight="1">
      <c r="A36" s="7" t="s">
        <v>266</v>
      </c>
      <c r="B36" s="8" t="s">
        <v>267</v>
      </c>
      <c r="C36" s="9" t="s">
        <v>236</v>
      </c>
      <c r="D36" s="9" t="s">
        <v>31</v>
      </c>
      <c r="E36" s="7" t="s">
        <v>32</v>
      </c>
      <c r="F36" s="7" t="s">
        <v>268</v>
      </c>
      <c r="G36" s="8" t="s">
        <v>269</v>
      </c>
      <c r="H36" s="7" t="s">
        <v>270</v>
      </c>
      <c r="I36" s="9" t="s">
        <v>25</v>
      </c>
      <c r="J36" s="9" t="s">
        <v>26</v>
      </c>
      <c r="K36" s="9" t="s">
        <v>26</v>
      </c>
      <c r="L36" s="7" t="s">
        <v>26</v>
      </c>
      <c r="M36" s="7" t="s">
        <v>26</v>
      </c>
      <c r="N36" s="7" t="s">
        <v>27</v>
      </c>
      <c r="O36" s="10">
        <v>7.0</v>
      </c>
      <c r="P36" s="7" t="s">
        <v>271</v>
      </c>
      <c r="Q36" s="12" t="s">
        <v>272</v>
      </c>
    </row>
    <row r="37" ht="22.5" customHeight="1">
      <c r="A37" s="7" t="s">
        <v>273</v>
      </c>
      <c r="B37" s="8" t="s">
        <v>274</v>
      </c>
      <c r="C37" s="9" t="s">
        <v>236</v>
      </c>
      <c r="D37" s="9" t="s">
        <v>275</v>
      </c>
      <c r="E37" s="7" t="s">
        <v>276</v>
      </c>
      <c r="F37" s="7" t="s">
        <v>277</v>
      </c>
      <c r="G37" s="8" t="s">
        <v>278</v>
      </c>
      <c r="H37" s="7" t="s">
        <v>279</v>
      </c>
      <c r="I37" s="9" t="s">
        <v>51</v>
      </c>
      <c r="J37" s="9" t="s">
        <v>26</v>
      </c>
      <c r="K37" s="9" t="s">
        <v>26</v>
      </c>
      <c r="L37" s="7" t="s">
        <v>26</v>
      </c>
      <c r="M37" s="7" t="s">
        <v>26</v>
      </c>
      <c r="N37" s="7" t="s">
        <v>27</v>
      </c>
      <c r="O37" s="10">
        <v>7.0</v>
      </c>
      <c r="P37" s="7" t="s">
        <v>280</v>
      </c>
    </row>
    <row r="38" ht="22.5" customHeight="1">
      <c r="A38" s="7" t="s">
        <v>281</v>
      </c>
      <c r="B38" s="8" t="s">
        <v>282</v>
      </c>
      <c r="C38" s="9" t="s">
        <v>236</v>
      </c>
      <c r="D38" s="9" t="s">
        <v>174</v>
      </c>
      <c r="E38" s="7" t="s">
        <v>283</v>
      </c>
      <c r="F38" s="7" t="s">
        <v>284</v>
      </c>
      <c r="G38" s="8" t="s">
        <v>285</v>
      </c>
      <c r="H38" s="7" t="s">
        <v>286</v>
      </c>
      <c r="I38" s="9" t="s">
        <v>51</v>
      </c>
      <c r="J38" s="9" t="s">
        <v>26</v>
      </c>
      <c r="K38" s="9" t="s">
        <v>26</v>
      </c>
      <c r="L38" s="7" t="s">
        <v>26</v>
      </c>
      <c r="M38" s="7" t="s">
        <v>26</v>
      </c>
      <c r="N38" s="7" t="s">
        <v>27</v>
      </c>
      <c r="O38" s="10">
        <v>8.0</v>
      </c>
      <c r="P38" s="7" t="s">
        <v>287</v>
      </c>
    </row>
    <row r="39" ht="22.5" customHeight="1">
      <c r="A39" s="7" t="s">
        <v>288</v>
      </c>
      <c r="B39" s="8" t="s">
        <v>289</v>
      </c>
      <c r="C39" s="9" t="s">
        <v>236</v>
      </c>
      <c r="D39" s="9" t="s">
        <v>31</v>
      </c>
      <c r="E39" s="7" t="s">
        <v>290</v>
      </c>
      <c r="F39" s="7" t="s">
        <v>291</v>
      </c>
      <c r="G39" s="8" t="s">
        <v>292</v>
      </c>
      <c r="H39" s="7" t="s">
        <v>293</v>
      </c>
      <c r="I39" s="9" t="s">
        <v>25</v>
      </c>
      <c r="J39" s="9" t="s">
        <v>26</v>
      </c>
      <c r="K39" s="9" t="s">
        <v>26</v>
      </c>
      <c r="L39" s="7" t="s">
        <v>26</v>
      </c>
      <c r="M39" s="7" t="s">
        <v>26</v>
      </c>
      <c r="N39" s="7" t="s">
        <v>27</v>
      </c>
      <c r="O39" s="10">
        <v>8.0</v>
      </c>
      <c r="P39" s="7" t="s">
        <v>294</v>
      </c>
    </row>
    <row r="40" ht="22.5" customHeight="1">
      <c r="A40" s="7" t="s">
        <v>295</v>
      </c>
      <c r="B40" s="8" t="s">
        <v>296</v>
      </c>
      <c r="C40" s="9" t="s">
        <v>236</v>
      </c>
      <c r="D40" s="9" t="s">
        <v>252</v>
      </c>
      <c r="E40" s="7" t="s">
        <v>297</v>
      </c>
      <c r="F40" s="8" t="s">
        <v>296</v>
      </c>
      <c r="G40" s="8" t="s">
        <v>298</v>
      </c>
      <c r="H40" s="7" t="s">
        <v>299</v>
      </c>
      <c r="I40" s="9" t="s">
        <v>25</v>
      </c>
      <c r="J40" s="9" t="s">
        <v>26</v>
      </c>
      <c r="K40" s="9" t="s">
        <v>26</v>
      </c>
      <c r="L40" s="7" t="s">
        <v>26</v>
      </c>
      <c r="M40" s="7" t="s">
        <v>26</v>
      </c>
      <c r="N40" s="7" t="s">
        <v>27</v>
      </c>
      <c r="O40" s="10">
        <v>8.0</v>
      </c>
      <c r="P40" s="7" t="s">
        <v>300</v>
      </c>
    </row>
    <row r="41" ht="22.5" customHeight="1">
      <c r="A41" s="7" t="s">
        <v>301</v>
      </c>
      <c r="B41" s="8" t="s">
        <v>302</v>
      </c>
      <c r="C41" s="9" t="s">
        <v>303</v>
      </c>
      <c r="D41" s="9" t="s">
        <v>20</v>
      </c>
      <c r="E41" s="7" t="s">
        <v>304</v>
      </c>
      <c r="F41" s="7" t="s">
        <v>305</v>
      </c>
      <c r="G41" s="8" t="s">
        <v>306</v>
      </c>
      <c r="H41" s="7" t="s">
        <v>307</v>
      </c>
      <c r="I41" s="9" t="s">
        <v>25</v>
      </c>
      <c r="J41" s="9" t="s">
        <v>26</v>
      </c>
      <c r="K41" s="9" t="s">
        <v>26</v>
      </c>
      <c r="L41" s="7" t="s">
        <v>26</v>
      </c>
      <c r="M41" s="7" t="s">
        <v>26</v>
      </c>
      <c r="N41" s="7" t="s">
        <v>27</v>
      </c>
      <c r="O41" s="10">
        <v>9.0</v>
      </c>
      <c r="P41" s="7" t="s">
        <v>308</v>
      </c>
    </row>
    <row r="42" ht="22.5" customHeight="1">
      <c r="A42" s="7" t="s">
        <v>309</v>
      </c>
      <c r="B42" s="8" t="s">
        <v>310</v>
      </c>
      <c r="C42" s="9" t="s">
        <v>303</v>
      </c>
      <c r="D42" s="9" t="s">
        <v>31</v>
      </c>
      <c r="E42" s="7" t="s">
        <v>311</v>
      </c>
      <c r="F42" s="7" t="s">
        <v>312</v>
      </c>
      <c r="G42" s="8" t="s">
        <v>313</v>
      </c>
      <c r="H42" s="7" t="s">
        <v>314</v>
      </c>
      <c r="I42" s="9" t="s">
        <v>51</v>
      </c>
      <c r="J42" s="9" t="s">
        <v>26</v>
      </c>
      <c r="K42" s="9" t="s">
        <v>26</v>
      </c>
      <c r="L42" s="7" t="s">
        <v>26</v>
      </c>
      <c r="M42" s="7" t="s">
        <v>26</v>
      </c>
      <c r="N42" s="7" t="s">
        <v>27</v>
      </c>
      <c r="O42" s="10">
        <v>9.0</v>
      </c>
      <c r="P42" s="7" t="s">
        <v>315</v>
      </c>
    </row>
    <row r="43" ht="22.5" customHeight="1">
      <c r="A43" s="7" t="s">
        <v>316</v>
      </c>
      <c r="B43" s="8" t="s">
        <v>317</v>
      </c>
      <c r="C43" s="9" t="s">
        <v>303</v>
      </c>
      <c r="D43" s="9" t="s">
        <v>31</v>
      </c>
      <c r="E43" s="7" t="s">
        <v>311</v>
      </c>
      <c r="F43" s="7" t="s">
        <v>318</v>
      </c>
      <c r="G43" s="8" t="s">
        <v>319</v>
      </c>
      <c r="H43" s="7" t="s">
        <v>320</v>
      </c>
      <c r="I43" s="9" t="s">
        <v>51</v>
      </c>
      <c r="J43" s="9" t="s">
        <v>26</v>
      </c>
      <c r="K43" s="9" t="s">
        <v>26</v>
      </c>
      <c r="L43" s="7" t="s">
        <v>26</v>
      </c>
      <c r="M43" s="7" t="s">
        <v>26</v>
      </c>
      <c r="N43" s="7" t="s">
        <v>27</v>
      </c>
      <c r="O43" s="10">
        <v>9.0</v>
      </c>
      <c r="P43" s="7" t="s">
        <v>321</v>
      </c>
    </row>
    <row r="44" ht="22.5" customHeight="1">
      <c r="A44" s="7" t="s">
        <v>322</v>
      </c>
      <c r="B44" s="8" t="s">
        <v>323</v>
      </c>
      <c r="C44" s="9" t="s">
        <v>303</v>
      </c>
      <c r="D44" s="9" t="s">
        <v>31</v>
      </c>
      <c r="E44" s="7" t="s">
        <v>311</v>
      </c>
      <c r="F44" s="7" t="s">
        <v>324</v>
      </c>
      <c r="G44" s="8" t="s">
        <v>325</v>
      </c>
      <c r="H44" s="7" t="s">
        <v>326</v>
      </c>
      <c r="I44" s="9" t="s">
        <v>25</v>
      </c>
      <c r="J44" s="9" t="s">
        <v>26</v>
      </c>
      <c r="K44" s="9" t="s">
        <v>26</v>
      </c>
      <c r="L44" s="7" t="s">
        <v>26</v>
      </c>
      <c r="M44" s="7" t="s">
        <v>26</v>
      </c>
      <c r="N44" s="7" t="s">
        <v>27</v>
      </c>
      <c r="O44" s="10">
        <v>9.0</v>
      </c>
      <c r="P44" s="7" t="s">
        <v>327</v>
      </c>
    </row>
    <row r="45" ht="22.5" customHeight="1">
      <c r="A45" s="7" t="s">
        <v>328</v>
      </c>
      <c r="B45" s="8" t="s">
        <v>329</v>
      </c>
      <c r="C45" s="9" t="s">
        <v>303</v>
      </c>
      <c r="D45" s="9" t="s">
        <v>31</v>
      </c>
      <c r="E45" s="7" t="s">
        <v>330</v>
      </c>
      <c r="F45" s="7" t="s">
        <v>331</v>
      </c>
      <c r="G45" s="8" t="s">
        <v>332</v>
      </c>
      <c r="H45" s="7" t="s">
        <v>333</v>
      </c>
      <c r="I45" s="9" t="s">
        <v>51</v>
      </c>
      <c r="J45" s="9" t="s">
        <v>26</v>
      </c>
      <c r="K45" s="9" t="s">
        <v>26</v>
      </c>
      <c r="L45" s="7" t="s">
        <v>26</v>
      </c>
      <c r="M45" s="7" t="s">
        <v>26</v>
      </c>
      <c r="N45" s="7" t="s">
        <v>27</v>
      </c>
      <c r="O45" s="14">
        <v>46304.0</v>
      </c>
      <c r="P45" s="7" t="s">
        <v>334</v>
      </c>
    </row>
    <row r="46" ht="22.5" customHeight="1">
      <c r="A46" s="7" t="s">
        <v>335</v>
      </c>
      <c r="B46" s="8" t="s">
        <v>336</v>
      </c>
      <c r="C46" s="9" t="s">
        <v>303</v>
      </c>
      <c r="D46" s="9" t="s">
        <v>31</v>
      </c>
      <c r="E46" s="7" t="s">
        <v>330</v>
      </c>
      <c r="F46" s="7" t="s">
        <v>337</v>
      </c>
      <c r="G46" s="8" t="s">
        <v>338</v>
      </c>
      <c r="H46" s="7" t="s">
        <v>339</v>
      </c>
      <c r="I46" s="9" t="s">
        <v>51</v>
      </c>
      <c r="J46" s="9" t="s">
        <v>26</v>
      </c>
      <c r="K46" s="9" t="s">
        <v>26</v>
      </c>
      <c r="L46" s="7" t="s">
        <v>26</v>
      </c>
      <c r="M46" s="7" t="s">
        <v>26</v>
      </c>
      <c r="N46" s="7" t="s">
        <v>27</v>
      </c>
      <c r="O46" s="14">
        <v>46304.0</v>
      </c>
      <c r="P46" s="7" t="s">
        <v>340</v>
      </c>
    </row>
    <row r="47" ht="22.5" customHeight="1">
      <c r="A47" s="7" t="s">
        <v>341</v>
      </c>
      <c r="B47" s="8" t="s">
        <v>342</v>
      </c>
      <c r="C47" s="9" t="s">
        <v>303</v>
      </c>
      <c r="D47" s="9" t="s">
        <v>31</v>
      </c>
      <c r="E47" s="7" t="s">
        <v>311</v>
      </c>
      <c r="F47" s="7" t="s">
        <v>343</v>
      </c>
      <c r="G47" s="8" t="s">
        <v>344</v>
      </c>
      <c r="H47" s="7" t="s">
        <v>345</v>
      </c>
      <c r="I47" s="9" t="s">
        <v>25</v>
      </c>
      <c r="J47" s="9" t="s">
        <v>26</v>
      </c>
      <c r="K47" s="9" t="s">
        <v>26</v>
      </c>
      <c r="L47" s="7" t="s">
        <v>26</v>
      </c>
      <c r="M47" s="7" t="s">
        <v>26</v>
      </c>
      <c r="N47" s="7" t="s">
        <v>27</v>
      </c>
      <c r="O47" s="10">
        <v>10.0</v>
      </c>
      <c r="P47" s="7" t="s">
        <v>346</v>
      </c>
    </row>
    <row r="48" ht="22.5" customHeight="1">
      <c r="A48" s="7" t="s">
        <v>347</v>
      </c>
      <c r="B48" s="8" t="s">
        <v>348</v>
      </c>
      <c r="C48" s="9" t="s">
        <v>303</v>
      </c>
      <c r="D48" s="9" t="s">
        <v>31</v>
      </c>
      <c r="E48" s="7" t="s">
        <v>349</v>
      </c>
      <c r="F48" s="7" t="s">
        <v>350</v>
      </c>
      <c r="G48" s="8" t="s">
        <v>351</v>
      </c>
      <c r="H48" s="7" t="s">
        <v>352</v>
      </c>
      <c r="I48" s="9" t="s">
        <v>51</v>
      </c>
      <c r="J48" s="9" t="s">
        <v>26</v>
      </c>
      <c r="K48" s="9" t="s">
        <v>26</v>
      </c>
      <c r="L48" s="7" t="s">
        <v>26</v>
      </c>
      <c r="M48" s="7" t="s">
        <v>26</v>
      </c>
      <c r="N48" s="7" t="s">
        <v>27</v>
      </c>
      <c r="O48" s="10">
        <v>10.0</v>
      </c>
      <c r="P48" s="7" t="s">
        <v>353</v>
      </c>
    </row>
    <row r="49" ht="22.5" customHeight="1">
      <c r="A49" s="7" t="s">
        <v>354</v>
      </c>
      <c r="B49" s="8" t="s">
        <v>355</v>
      </c>
      <c r="C49" s="9" t="s">
        <v>303</v>
      </c>
      <c r="D49" s="9" t="s">
        <v>20</v>
      </c>
      <c r="E49" s="7" t="s">
        <v>349</v>
      </c>
      <c r="F49" s="7" t="s">
        <v>356</v>
      </c>
      <c r="G49" s="8" t="s">
        <v>357</v>
      </c>
      <c r="H49" s="7" t="s">
        <v>358</v>
      </c>
      <c r="I49" s="9" t="s">
        <v>51</v>
      </c>
      <c r="J49" s="9" t="s">
        <v>26</v>
      </c>
      <c r="K49" s="9" t="s">
        <v>26</v>
      </c>
      <c r="L49" s="7" t="s">
        <v>26</v>
      </c>
      <c r="M49" s="7" t="s">
        <v>26</v>
      </c>
      <c r="N49" s="7" t="s">
        <v>27</v>
      </c>
      <c r="O49" s="10">
        <v>10.0</v>
      </c>
      <c r="P49" s="7" t="s">
        <v>359</v>
      </c>
    </row>
    <row r="50" ht="22.5" customHeight="1">
      <c r="A50" s="7" t="s">
        <v>360</v>
      </c>
      <c r="B50" s="8" t="s">
        <v>361</v>
      </c>
      <c r="C50" s="9" t="s">
        <v>303</v>
      </c>
      <c r="D50" s="9" t="s">
        <v>31</v>
      </c>
      <c r="E50" s="7" t="s">
        <v>304</v>
      </c>
      <c r="F50" s="7" t="s">
        <v>362</v>
      </c>
      <c r="G50" s="8" t="s">
        <v>363</v>
      </c>
      <c r="H50" s="7" t="s">
        <v>364</v>
      </c>
      <c r="I50" s="9" t="s">
        <v>51</v>
      </c>
      <c r="J50" s="9" t="s">
        <v>26</v>
      </c>
      <c r="K50" s="9" t="s">
        <v>26</v>
      </c>
      <c r="L50" s="7" t="s">
        <v>26</v>
      </c>
      <c r="M50" s="7" t="s">
        <v>26</v>
      </c>
      <c r="N50" s="7" t="s">
        <v>27</v>
      </c>
      <c r="O50" s="10">
        <v>10.0</v>
      </c>
      <c r="P50" s="7" t="s">
        <v>365</v>
      </c>
    </row>
    <row r="51" ht="22.5" customHeight="1">
      <c r="A51" s="7" t="s">
        <v>366</v>
      </c>
      <c r="B51" s="8" t="s">
        <v>367</v>
      </c>
      <c r="C51" s="9" t="s">
        <v>303</v>
      </c>
      <c r="D51" s="9" t="s">
        <v>31</v>
      </c>
      <c r="E51" s="7" t="s">
        <v>304</v>
      </c>
      <c r="F51" s="7" t="s">
        <v>368</v>
      </c>
      <c r="G51" s="8" t="s">
        <v>369</v>
      </c>
      <c r="H51" s="7" t="s">
        <v>370</v>
      </c>
      <c r="I51" s="9" t="s">
        <v>51</v>
      </c>
      <c r="J51" s="9" t="s">
        <v>26</v>
      </c>
      <c r="K51" s="9" t="s">
        <v>26</v>
      </c>
      <c r="L51" s="7" t="s">
        <v>26</v>
      </c>
      <c r="M51" s="7" t="s">
        <v>26</v>
      </c>
      <c r="N51" s="7" t="s">
        <v>27</v>
      </c>
      <c r="O51" s="10">
        <v>10.0</v>
      </c>
      <c r="P51" s="7" t="s">
        <v>371</v>
      </c>
    </row>
    <row r="52" ht="22.5" customHeight="1">
      <c r="A52" s="7" t="s">
        <v>372</v>
      </c>
      <c r="B52" s="8" t="s">
        <v>373</v>
      </c>
      <c r="C52" s="9" t="s">
        <v>303</v>
      </c>
      <c r="D52" s="9" t="s">
        <v>20</v>
      </c>
      <c r="E52" s="7" t="s">
        <v>304</v>
      </c>
      <c r="F52" s="7" t="s">
        <v>374</v>
      </c>
      <c r="G52" s="8" t="s">
        <v>375</v>
      </c>
      <c r="H52" s="7" t="s">
        <v>376</v>
      </c>
      <c r="I52" s="9" t="s">
        <v>25</v>
      </c>
      <c r="J52" s="9" t="s">
        <v>26</v>
      </c>
      <c r="K52" s="9" t="s">
        <v>26</v>
      </c>
      <c r="L52" s="7" t="s">
        <v>26</v>
      </c>
      <c r="M52" s="7" t="s">
        <v>26</v>
      </c>
      <c r="N52" s="7" t="s">
        <v>27</v>
      </c>
      <c r="O52" s="10">
        <v>10.0</v>
      </c>
      <c r="P52" s="7" t="s">
        <v>377</v>
      </c>
    </row>
    <row r="53" ht="22.5" customHeight="1">
      <c r="A53" s="7" t="s">
        <v>378</v>
      </c>
      <c r="B53" s="8" t="s">
        <v>379</v>
      </c>
      <c r="C53" s="9" t="s">
        <v>303</v>
      </c>
      <c r="D53" s="9" t="s">
        <v>20</v>
      </c>
      <c r="E53" s="7" t="s">
        <v>380</v>
      </c>
      <c r="F53" s="7" t="s">
        <v>381</v>
      </c>
      <c r="G53" s="8" t="s">
        <v>382</v>
      </c>
      <c r="H53" s="7" t="s">
        <v>383</v>
      </c>
      <c r="I53" s="9" t="s">
        <v>51</v>
      </c>
      <c r="J53" s="9" t="s">
        <v>26</v>
      </c>
      <c r="K53" s="9" t="s">
        <v>26</v>
      </c>
      <c r="L53" s="7" t="s">
        <v>26</v>
      </c>
      <c r="M53" s="7" t="s">
        <v>26</v>
      </c>
      <c r="N53" s="7" t="s">
        <v>27</v>
      </c>
      <c r="O53" s="10">
        <v>10.0</v>
      </c>
      <c r="P53" s="7" t="s">
        <v>384</v>
      </c>
    </row>
    <row r="54" ht="22.5" customHeight="1">
      <c r="A54" s="7" t="s">
        <v>385</v>
      </c>
      <c r="B54" s="8" t="s">
        <v>386</v>
      </c>
      <c r="C54" s="9" t="s">
        <v>303</v>
      </c>
      <c r="D54" s="9" t="s">
        <v>20</v>
      </c>
      <c r="E54" s="7" t="s">
        <v>387</v>
      </c>
      <c r="F54" s="7" t="s">
        <v>388</v>
      </c>
      <c r="G54" s="8" t="s">
        <v>389</v>
      </c>
      <c r="H54" s="7" t="s">
        <v>390</v>
      </c>
      <c r="I54" s="9" t="s">
        <v>51</v>
      </c>
      <c r="J54" s="9" t="s">
        <v>26</v>
      </c>
      <c r="K54" s="9" t="s">
        <v>26</v>
      </c>
      <c r="L54" s="7" t="s">
        <v>26</v>
      </c>
      <c r="M54" s="7" t="s">
        <v>26</v>
      </c>
      <c r="N54" s="7" t="s">
        <v>27</v>
      </c>
      <c r="O54" s="10">
        <v>10.0</v>
      </c>
      <c r="P54" s="7" t="s">
        <v>391</v>
      </c>
    </row>
    <row r="55" ht="22.5" customHeight="1">
      <c r="A55" s="7" t="s">
        <v>392</v>
      </c>
      <c r="B55" s="8" t="s">
        <v>393</v>
      </c>
      <c r="C55" s="9" t="s">
        <v>303</v>
      </c>
      <c r="D55" s="9" t="s">
        <v>31</v>
      </c>
      <c r="E55" s="7" t="s">
        <v>394</v>
      </c>
      <c r="F55" s="7" t="s">
        <v>395</v>
      </c>
      <c r="G55" s="8" t="s">
        <v>396</v>
      </c>
      <c r="H55" s="7" t="s">
        <v>397</v>
      </c>
      <c r="I55" s="9" t="s">
        <v>51</v>
      </c>
      <c r="J55" s="9" t="s">
        <v>26</v>
      </c>
      <c r="K55" s="9" t="s">
        <v>26</v>
      </c>
      <c r="L55" s="7" t="s">
        <v>26</v>
      </c>
      <c r="M55" s="7" t="s">
        <v>26</v>
      </c>
      <c r="N55" s="7" t="s">
        <v>27</v>
      </c>
      <c r="O55" s="10">
        <v>10.0</v>
      </c>
      <c r="P55" s="7" t="s">
        <v>398</v>
      </c>
    </row>
    <row r="56" ht="22.5" customHeight="1">
      <c r="A56" s="7" t="s">
        <v>399</v>
      </c>
      <c r="B56" s="8" t="s">
        <v>400</v>
      </c>
      <c r="C56" s="9" t="s">
        <v>303</v>
      </c>
      <c r="D56" s="9" t="s">
        <v>31</v>
      </c>
      <c r="E56" s="7" t="s">
        <v>311</v>
      </c>
      <c r="F56" s="7" t="s">
        <v>401</v>
      </c>
      <c r="G56" s="8" t="s">
        <v>402</v>
      </c>
      <c r="H56" s="7" t="s">
        <v>403</v>
      </c>
      <c r="I56" s="9" t="s">
        <v>51</v>
      </c>
      <c r="J56" s="9" t="s">
        <v>26</v>
      </c>
      <c r="K56" s="9" t="s">
        <v>26</v>
      </c>
      <c r="L56" s="7" t="s">
        <v>26</v>
      </c>
      <c r="M56" s="7" t="s">
        <v>26</v>
      </c>
      <c r="N56" s="7" t="s">
        <v>27</v>
      </c>
      <c r="O56" s="10">
        <v>10.0</v>
      </c>
      <c r="P56" s="7" t="s">
        <v>404</v>
      </c>
    </row>
    <row r="57" ht="22.5" customHeight="1">
      <c r="A57" s="7" t="s">
        <v>405</v>
      </c>
      <c r="B57" s="8" t="s">
        <v>406</v>
      </c>
      <c r="C57" s="9" t="s">
        <v>303</v>
      </c>
      <c r="D57" s="9" t="s">
        <v>31</v>
      </c>
      <c r="E57" s="7" t="s">
        <v>394</v>
      </c>
      <c r="F57" s="7" t="s">
        <v>407</v>
      </c>
      <c r="G57" s="8" t="s">
        <v>408</v>
      </c>
      <c r="H57" s="7" t="s">
        <v>409</v>
      </c>
      <c r="I57" s="9" t="s">
        <v>51</v>
      </c>
      <c r="J57" s="9" t="s">
        <v>26</v>
      </c>
      <c r="K57" s="9" t="s">
        <v>26</v>
      </c>
      <c r="L57" s="7" t="s">
        <v>26</v>
      </c>
      <c r="M57" s="7" t="s">
        <v>26</v>
      </c>
      <c r="N57" s="7" t="s">
        <v>27</v>
      </c>
      <c r="O57" s="10">
        <v>10.0</v>
      </c>
      <c r="P57" s="7" t="s">
        <v>410</v>
      </c>
    </row>
    <row r="58" ht="22.5" customHeight="1">
      <c r="A58" s="7" t="s">
        <v>411</v>
      </c>
      <c r="B58" s="8" t="s">
        <v>412</v>
      </c>
      <c r="C58" s="9" t="s">
        <v>303</v>
      </c>
      <c r="D58" s="9" t="s">
        <v>31</v>
      </c>
      <c r="E58" s="7" t="s">
        <v>413</v>
      </c>
      <c r="F58" s="7" t="s">
        <v>414</v>
      </c>
      <c r="G58" s="8" t="s">
        <v>415</v>
      </c>
      <c r="H58" s="7" t="s">
        <v>416</v>
      </c>
      <c r="I58" s="9" t="s">
        <v>51</v>
      </c>
      <c r="J58" s="9" t="s">
        <v>26</v>
      </c>
      <c r="K58" s="9" t="s">
        <v>26</v>
      </c>
      <c r="L58" s="7" t="s">
        <v>26</v>
      </c>
      <c r="M58" s="7" t="s">
        <v>26</v>
      </c>
      <c r="N58" s="7" t="s">
        <v>27</v>
      </c>
      <c r="O58" s="10">
        <v>10.0</v>
      </c>
      <c r="P58" s="7" t="s">
        <v>417</v>
      </c>
    </row>
    <row r="59" ht="22.5" customHeight="1">
      <c r="A59" s="7" t="s">
        <v>418</v>
      </c>
      <c r="B59" s="8" t="s">
        <v>419</v>
      </c>
      <c r="C59" s="9" t="s">
        <v>303</v>
      </c>
      <c r="D59" s="9" t="s">
        <v>31</v>
      </c>
      <c r="E59" s="7" t="s">
        <v>330</v>
      </c>
      <c r="F59" s="7" t="s">
        <v>420</v>
      </c>
      <c r="G59" s="8" t="s">
        <v>421</v>
      </c>
      <c r="H59" s="7" t="s">
        <v>422</v>
      </c>
      <c r="I59" s="9" t="s">
        <v>51</v>
      </c>
      <c r="J59" s="9" t="s">
        <v>26</v>
      </c>
      <c r="K59" s="9" t="s">
        <v>26</v>
      </c>
      <c r="L59" s="7" t="s">
        <v>26</v>
      </c>
      <c r="M59" s="7" t="s">
        <v>26</v>
      </c>
      <c r="N59" s="7" t="s">
        <v>27</v>
      </c>
      <c r="O59" s="10">
        <v>10.0</v>
      </c>
      <c r="P59" s="7" t="s">
        <v>423</v>
      </c>
    </row>
    <row r="60" ht="22.5" customHeight="1">
      <c r="A60" s="7" t="s">
        <v>424</v>
      </c>
      <c r="B60" s="8" t="s">
        <v>425</v>
      </c>
      <c r="C60" s="9" t="s">
        <v>303</v>
      </c>
      <c r="D60" s="9" t="s">
        <v>31</v>
      </c>
      <c r="E60" s="7" t="s">
        <v>426</v>
      </c>
      <c r="F60" s="7" t="s">
        <v>427</v>
      </c>
      <c r="G60" s="8" t="s">
        <v>428</v>
      </c>
      <c r="H60" s="7" t="s">
        <v>429</v>
      </c>
      <c r="I60" s="9" t="s">
        <v>25</v>
      </c>
      <c r="J60" s="9" t="s">
        <v>26</v>
      </c>
      <c r="K60" s="9" t="s">
        <v>26</v>
      </c>
      <c r="L60" s="7" t="s">
        <v>26</v>
      </c>
      <c r="M60" s="7" t="s">
        <v>26</v>
      </c>
      <c r="N60" s="7" t="s">
        <v>27</v>
      </c>
      <c r="O60" s="10">
        <v>10.0</v>
      </c>
      <c r="P60" s="7" t="s">
        <v>430</v>
      </c>
    </row>
    <row r="61" ht="22.5" customHeight="1">
      <c r="A61" s="7" t="s">
        <v>431</v>
      </c>
      <c r="B61" s="8" t="s">
        <v>432</v>
      </c>
      <c r="C61" s="9" t="s">
        <v>303</v>
      </c>
      <c r="D61" s="9" t="s">
        <v>31</v>
      </c>
      <c r="E61" s="7" t="s">
        <v>433</v>
      </c>
      <c r="F61" s="7" t="s">
        <v>434</v>
      </c>
      <c r="G61" s="8" t="s">
        <v>435</v>
      </c>
      <c r="H61" s="7" t="s">
        <v>436</v>
      </c>
      <c r="I61" s="9" t="s">
        <v>51</v>
      </c>
      <c r="J61" s="9" t="s">
        <v>26</v>
      </c>
      <c r="K61" s="9" t="s">
        <v>26</v>
      </c>
      <c r="L61" s="7" t="s">
        <v>26</v>
      </c>
      <c r="M61" s="7" t="s">
        <v>26</v>
      </c>
      <c r="N61" s="7" t="s">
        <v>27</v>
      </c>
      <c r="O61" s="10">
        <v>10.0</v>
      </c>
      <c r="P61" s="7" t="s">
        <v>437</v>
      </c>
    </row>
    <row r="62" ht="22.5" customHeight="1">
      <c r="A62" s="7" t="s">
        <v>438</v>
      </c>
      <c r="B62" s="8" t="s">
        <v>439</v>
      </c>
      <c r="C62" s="9" t="s">
        <v>303</v>
      </c>
      <c r="D62" s="9" t="s">
        <v>31</v>
      </c>
      <c r="E62" s="7" t="s">
        <v>311</v>
      </c>
      <c r="F62" s="7" t="s">
        <v>440</v>
      </c>
      <c r="G62" s="8" t="s">
        <v>441</v>
      </c>
      <c r="H62" s="7" t="s">
        <v>442</v>
      </c>
      <c r="I62" s="9" t="s">
        <v>51</v>
      </c>
      <c r="J62" s="9" t="s">
        <v>26</v>
      </c>
      <c r="K62" s="9" t="s">
        <v>26</v>
      </c>
      <c r="L62" s="7" t="s">
        <v>26</v>
      </c>
      <c r="M62" s="7" t="s">
        <v>26</v>
      </c>
      <c r="N62" s="7" t="s">
        <v>27</v>
      </c>
      <c r="O62" s="10">
        <v>10.0</v>
      </c>
      <c r="P62" s="7" t="s">
        <v>443</v>
      </c>
    </row>
    <row r="63" ht="22.5" customHeight="1">
      <c r="A63" s="7" t="s">
        <v>444</v>
      </c>
      <c r="B63" s="8" t="s">
        <v>445</v>
      </c>
      <c r="C63" s="9" t="s">
        <v>303</v>
      </c>
      <c r="D63" s="9" t="s">
        <v>31</v>
      </c>
      <c r="E63" s="7" t="s">
        <v>311</v>
      </c>
      <c r="F63" s="7" t="s">
        <v>446</v>
      </c>
      <c r="G63" s="8" t="s">
        <v>447</v>
      </c>
      <c r="H63" s="7" t="s">
        <v>448</v>
      </c>
      <c r="I63" s="9" t="s">
        <v>51</v>
      </c>
      <c r="J63" s="9" t="s">
        <v>26</v>
      </c>
      <c r="K63" s="9" t="s">
        <v>26</v>
      </c>
      <c r="L63" s="7" t="s">
        <v>26</v>
      </c>
      <c r="M63" s="7" t="s">
        <v>26</v>
      </c>
      <c r="N63" s="7" t="s">
        <v>27</v>
      </c>
      <c r="O63" s="10">
        <v>10.0</v>
      </c>
      <c r="P63" s="7" t="s">
        <v>449</v>
      </c>
    </row>
    <row r="64" ht="22.5" customHeight="1">
      <c r="A64" s="7" t="s">
        <v>450</v>
      </c>
      <c r="B64" s="8" t="s">
        <v>451</v>
      </c>
      <c r="C64" s="9" t="s">
        <v>303</v>
      </c>
      <c r="D64" s="9" t="s">
        <v>31</v>
      </c>
      <c r="E64" s="7" t="s">
        <v>452</v>
      </c>
      <c r="F64" s="7" t="s">
        <v>453</v>
      </c>
      <c r="G64" s="8" t="s">
        <v>454</v>
      </c>
      <c r="H64" s="7" t="s">
        <v>455</v>
      </c>
      <c r="I64" s="9" t="s">
        <v>25</v>
      </c>
      <c r="J64" s="9" t="s">
        <v>26</v>
      </c>
      <c r="K64" s="9" t="s">
        <v>26</v>
      </c>
      <c r="L64" s="7" t="s">
        <v>26</v>
      </c>
      <c r="M64" s="7" t="s">
        <v>26</v>
      </c>
      <c r="N64" s="7" t="s">
        <v>27</v>
      </c>
      <c r="O64" s="10">
        <v>10.0</v>
      </c>
      <c r="P64" s="7" t="s">
        <v>456</v>
      </c>
    </row>
    <row r="65" ht="22.5" customHeight="1">
      <c r="A65" s="7" t="s">
        <v>457</v>
      </c>
      <c r="B65" s="8" t="s">
        <v>458</v>
      </c>
      <c r="C65" s="9" t="s">
        <v>303</v>
      </c>
      <c r="D65" s="9" t="s">
        <v>31</v>
      </c>
      <c r="E65" s="7" t="s">
        <v>311</v>
      </c>
      <c r="F65" s="7" t="s">
        <v>459</v>
      </c>
      <c r="G65" s="8" t="s">
        <v>460</v>
      </c>
      <c r="H65" s="7" t="s">
        <v>461</v>
      </c>
      <c r="I65" s="9" t="s">
        <v>25</v>
      </c>
      <c r="J65" s="9" t="s">
        <v>26</v>
      </c>
      <c r="K65" s="9" t="s">
        <v>26</v>
      </c>
      <c r="L65" s="7" t="s">
        <v>26</v>
      </c>
      <c r="M65" s="7" t="s">
        <v>26</v>
      </c>
      <c r="N65" s="7" t="s">
        <v>27</v>
      </c>
      <c r="O65" s="10">
        <v>10.0</v>
      </c>
      <c r="P65" s="7" t="s">
        <v>462</v>
      </c>
    </row>
    <row r="66" ht="22.5" customHeight="1">
      <c r="A66" s="7" t="s">
        <v>463</v>
      </c>
      <c r="B66" s="8" t="s">
        <v>464</v>
      </c>
      <c r="C66" s="9" t="s">
        <v>303</v>
      </c>
      <c r="D66" s="9" t="s">
        <v>31</v>
      </c>
      <c r="E66" s="7" t="s">
        <v>465</v>
      </c>
      <c r="F66" s="7" t="s">
        <v>466</v>
      </c>
      <c r="G66" s="8" t="s">
        <v>467</v>
      </c>
      <c r="H66" s="7" t="s">
        <v>468</v>
      </c>
      <c r="I66" s="9" t="s">
        <v>51</v>
      </c>
      <c r="J66" s="9" t="s">
        <v>26</v>
      </c>
      <c r="K66" s="9" t="s">
        <v>26</v>
      </c>
      <c r="L66" s="7" t="s">
        <v>26</v>
      </c>
      <c r="M66" s="7" t="s">
        <v>26</v>
      </c>
      <c r="N66" s="7" t="s">
        <v>27</v>
      </c>
      <c r="O66" s="10">
        <v>10.0</v>
      </c>
      <c r="P66" s="7" t="s">
        <v>469</v>
      </c>
    </row>
    <row r="67" ht="22.5" customHeight="1">
      <c r="A67" s="7" t="s">
        <v>470</v>
      </c>
      <c r="B67" s="8" t="s">
        <v>471</v>
      </c>
      <c r="C67" s="9" t="s">
        <v>472</v>
      </c>
      <c r="D67" s="9" t="s">
        <v>31</v>
      </c>
      <c r="E67" s="7" t="s">
        <v>32</v>
      </c>
      <c r="F67" s="8" t="s">
        <v>471</v>
      </c>
      <c r="G67" s="8" t="s">
        <v>473</v>
      </c>
      <c r="H67" s="7" t="s">
        <v>474</v>
      </c>
      <c r="I67" s="9" t="s">
        <v>25</v>
      </c>
      <c r="J67" s="9" t="s">
        <v>26</v>
      </c>
      <c r="K67" s="9" t="s">
        <v>26</v>
      </c>
      <c r="L67" s="7" t="s">
        <v>26</v>
      </c>
      <c r="M67" s="7" t="s">
        <v>26</v>
      </c>
      <c r="N67" s="7" t="s">
        <v>27</v>
      </c>
      <c r="O67" s="10">
        <v>11.0</v>
      </c>
      <c r="P67" s="7" t="s">
        <v>475</v>
      </c>
      <c r="Q67" s="12" t="s">
        <v>476</v>
      </c>
    </row>
    <row r="68" ht="22.5" customHeight="1">
      <c r="A68" s="7" t="s">
        <v>477</v>
      </c>
      <c r="B68" s="8" t="s">
        <v>478</v>
      </c>
      <c r="C68" s="9" t="s">
        <v>472</v>
      </c>
      <c r="D68" s="9" t="s">
        <v>31</v>
      </c>
      <c r="E68" s="7" t="s">
        <v>32</v>
      </c>
      <c r="F68" s="7" t="s">
        <v>479</v>
      </c>
      <c r="G68" s="8" t="s">
        <v>480</v>
      </c>
      <c r="H68" s="7" t="s">
        <v>481</v>
      </c>
      <c r="I68" s="9" t="s">
        <v>25</v>
      </c>
      <c r="J68" s="9" t="s">
        <v>26</v>
      </c>
      <c r="K68" s="9" t="s">
        <v>26</v>
      </c>
      <c r="L68" s="7" t="s">
        <v>26</v>
      </c>
      <c r="M68" s="7" t="s">
        <v>26</v>
      </c>
      <c r="N68" s="7" t="s">
        <v>27</v>
      </c>
      <c r="O68" s="10">
        <v>11.0</v>
      </c>
      <c r="P68" s="7" t="s">
        <v>482</v>
      </c>
      <c r="Q68" s="12" t="s">
        <v>483</v>
      </c>
    </row>
    <row r="69" ht="22.5" customHeight="1">
      <c r="A69" s="7" t="s">
        <v>484</v>
      </c>
      <c r="B69" s="8" t="s">
        <v>485</v>
      </c>
      <c r="C69" s="9" t="s">
        <v>472</v>
      </c>
      <c r="D69" s="9" t="s">
        <v>31</v>
      </c>
      <c r="E69" s="7" t="s">
        <v>465</v>
      </c>
      <c r="F69" s="7" t="s">
        <v>486</v>
      </c>
      <c r="G69" s="8" t="s">
        <v>487</v>
      </c>
      <c r="H69" s="7" t="s">
        <v>488</v>
      </c>
      <c r="I69" s="9" t="s">
        <v>25</v>
      </c>
      <c r="J69" s="9" t="s">
        <v>26</v>
      </c>
      <c r="K69" s="9" t="s">
        <v>26</v>
      </c>
      <c r="L69" s="7" t="s">
        <v>26</v>
      </c>
      <c r="M69" s="7" t="s">
        <v>26</v>
      </c>
      <c r="N69" s="7" t="s">
        <v>27</v>
      </c>
      <c r="O69" s="10">
        <v>11.0</v>
      </c>
      <c r="P69" s="7" t="s">
        <v>489</v>
      </c>
      <c r="Q69" s="12" t="s">
        <v>490</v>
      </c>
    </row>
    <row r="70" ht="22.5" customHeight="1">
      <c r="A70" s="7" t="s">
        <v>491</v>
      </c>
      <c r="B70" s="8" t="s">
        <v>492</v>
      </c>
      <c r="C70" s="9" t="s">
        <v>472</v>
      </c>
      <c r="D70" s="9" t="s">
        <v>31</v>
      </c>
      <c r="E70" s="7" t="s">
        <v>493</v>
      </c>
      <c r="F70" s="7" t="s">
        <v>494</v>
      </c>
      <c r="G70" s="8" t="s">
        <v>495</v>
      </c>
      <c r="H70" s="7" t="s">
        <v>496</v>
      </c>
      <c r="I70" s="9" t="s">
        <v>25</v>
      </c>
      <c r="J70" s="9" t="s">
        <v>26</v>
      </c>
      <c r="K70" s="9" t="s">
        <v>26</v>
      </c>
      <c r="L70" s="7" t="s">
        <v>26</v>
      </c>
      <c r="M70" s="7" t="s">
        <v>26</v>
      </c>
      <c r="N70" s="7" t="s">
        <v>27</v>
      </c>
      <c r="O70" s="10">
        <v>11.0</v>
      </c>
      <c r="P70" s="7" t="s">
        <v>497</v>
      </c>
      <c r="Q70" s="12" t="s">
        <v>498</v>
      </c>
    </row>
    <row r="71" ht="22.5" customHeight="1">
      <c r="A71" s="7" t="s">
        <v>499</v>
      </c>
      <c r="B71" s="8" t="s">
        <v>500</v>
      </c>
      <c r="C71" s="9" t="s">
        <v>472</v>
      </c>
      <c r="D71" s="9" t="s">
        <v>31</v>
      </c>
      <c r="E71" s="7" t="s">
        <v>501</v>
      </c>
      <c r="F71" s="7" t="s">
        <v>502</v>
      </c>
      <c r="G71" s="8" t="s">
        <v>503</v>
      </c>
      <c r="H71" s="7" t="s">
        <v>504</v>
      </c>
      <c r="I71" s="9" t="s">
        <v>51</v>
      </c>
      <c r="J71" s="9" t="s">
        <v>26</v>
      </c>
      <c r="K71" s="9" t="s">
        <v>26</v>
      </c>
      <c r="L71" s="7" t="s">
        <v>26</v>
      </c>
      <c r="M71" s="7" t="s">
        <v>26</v>
      </c>
      <c r="N71" s="7" t="s">
        <v>27</v>
      </c>
      <c r="O71" s="10">
        <v>12.0</v>
      </c>
      <c r="P71" s="7" t="s">
        <v>505</v>
      </c>
    </row>
    <row r="72" ht="22.5" customHeight="1">
      <c r="A72" s="7" t="s">
        <v>506</v>
      </c>
      <c r="B72" s="8" t="s">
        <v>507</v>
      </c>
      <c r="C72" s="9" t="s">
        <v>472</v>
      </c>
      <c r="D72" s="9" t="s">
        <v>31</v>
      </c>
      <c r="E72" s="7" t="s">
        <v>311</v>
      </c>
      <c r="F72" s="7" t="s">
        <v>508</v>
      </c>
      <c r="G72" s="8" t="s">
        <v>509</v>
      </c>
      <c r="H72" s="7" t="s">
        <v>510</v>
      </c>
      <c r="I72" s="9" t="s">
        <v>25</v>
      </c>
      <c r="J72" s="9" t="s">
        <v>26</v>
      </c>
      <c r="K72" s="9" t="s">
        <v>26</v>
      </c>
      <c r="L72" s="7" t="s">
        <v>26</v>
      </c>
      <c r="M72" s="7" t="s">
        <v>26</v>
      </c>
      <c r="N72" s="7" t="s">
        <v>27</v>
      </c>
      <c r="O72" s="10">
        <v>12.0</v>
      </c>
      <c r="P72" s="7" t="s">
        <v>511</v>
      </c>
      <c r="Q72" s="12" t="s">
        <v>512</v>
      </c>
    </row>
    <row r="73" ht="22.5" customHeight="1">
      <c r="A73" s="7" t="s">
        <v>513</v>
      </c>
      <c r="B73" s="8" t="s">
        <v>514</v>
      </c>
      <c r="C73" s="9" t="s">
        <v>472</v>
      </c>
      <c r="D73" s="9" t="s">
        <v>31</v>
      </c>
      <c r="E73" s="7" t="s">
        <v>493</v>
      </c>
      <c r="F73" s="7" t="s">
        <v>515</v>
      </c>
      <c r="G73" s="8" t="s">
        <v>516</v>
      </c>
      <c r="H73" s="7" t="s">
        <v>517</v>
      </c>
      <c r="I73" s="9" t="s">
        <v>25</v>
      </c>
      <c r="J73" s="9" t="s">
        <v>26</v>
      </c>
      <c r="K73" s="9" t="s">
        <v>26</v>
      </c>
      <c r="L73" s="7" t="s">
        <v>26</v>
      </c>
      <c r="M73" s="7" t="s">
        <v>26</v>
      </c>
      <c r="N73" s="7" t="s">
        <v>27</v>
      </c>
      <c r="O73" s="10">
        <v>12.0</v>
      </c>
      <c r="P73" s="7" t="s">
        <v>518</v>
      </c>
    </row>
    <row r="74" ht="22.5" customHeight="1">
      <c r="A74" s="7" t="s">
        <v>519</v>
      </c>
      <c r="B74" s="8" t="s">
        <v>520</v>
      </c>
      <c r="C74" s="9" t="s">
        <v>521</v>
      </c>
      <c r="D74" s="9" t="s">
        <v>183</v>
      </c>
      <c r="E74" s="7" t="s">
        <v>522</v>
      </c>
      <c r="F74" s="7" t="s">
        <v>523</v>
      </c>
      <c r="G74" s="8" t="s">
        <v>524</v>
      </c>
      <c r="H74" s="7" t="s">
        <v>525</v>
      </c>
      <c r="I74" s="9" t="s">
        <v>51</v>
      </c>
      <c r="J74" s="9" t="s">
        <v>26</v>
      </c>
      <c r="K74" s="9" t="s">
        <v>26</v>
      </c>
      <c r="L74" s="7" t="s">
        <v>26</v>
      </c>
      <c r="M74" s="7" t="s">
        <v>26</v>
      </c>
      <c r="N74" s="7" t="s">
        <v>27</v>
      </c>
      <c r="O74" s="10">
        <v>13.0</v>
      </c>
      <c r="P74" s="7" t="s">
        <v>526</v>
      </c>
    </row>
    <row r="75" ht="22.5" customHeight="1">
      <c r="A75" s="7" t="s">
        <v>527</v>
      </c>
      <c r="B75" s="8" t="s">
        <v>528</v>
      </c>
      <c r="C75" s="9" t="s">
        <v>521</v>
      </c>
      <c r="D75" s="9" t="s">
        <v>183</v>
      </c>
      <c r="E75" s="7" t="s">
        <v>529</v>
      </c>
      <c r="F75" s="7" t="s">
        <v>530</v>
      </c>
      <c r="G75" s="8" t="s">
        <v>531</v>
      </c>
      <c r="H75" s="7" t="s">
        <v>532</v>
      </c>
      <c r="I75" s="9" t="s">
        <v>51</v>
      </c>
      <c r="J75" s="9" t="s">
        <v>26</v>
      </c>
      <c r="K75" s="9" t="s">
        <v>26</v>
      </c>
      <c r="L75" s="7" t="s">
        <v>26</v>
      </c>
      <c r="M75" s="7" t="s">
        <v>26</v>
      </c>
      <c r="N75" s="7" t="s">
        <v>27</v>
      </c>
      <c r="O75" s="10">
        <v>13.0</v>
      </c>
      <c r="P75" s="7" t="s">
        <v>533</v>
      </c>
    </row>
    <row r="76" ht="22.5" customHeight="1">
      <c r="A76" s="7" t="s">
        <v>534</v>
      </c>
      <c r="B76" s="8" t="s">
        <v>535</v>
      </c>
      <c r="C76" s="9" t="s">
        <v>521</v>
      </c>
      <c r="D76" s="9" t="s">
        <v>183</v>
      </c>
      <c r="E76" s="7" t="s">
        <v>536</v>
      </c>
      <c r="F76" s="7" t="s">
        <v>537</v>
      </c>
      <c r="G76" s="8" t="s">
        <v>538</v>
      </c>
      <c r="H76" s="7" t="s">
        <v>539</v>
      </c>
      <c r="I76" s="9" t="s">
        <v>51</v>
      </c>
      <c r="J76" s="9" t="s">
        <v>26</v>
      </c>
      <c r="K76" s="9" t="s">
        <v>26</v>
      </c>
      <c r="L76" s="7" t="s">
        <v>26</v>
      </c>
      <c r="M76" s="7" t="s">
        <v>26</v>
      </c>
      <c r="N76" s="7" t="s">
        <v>27</v>
      </c>
      <c r="O76" s="10">
        <v>13.0</v>
      </c>
      <c r="P76" s="7" t="s">
        <v>540</v>
      </c>
    </row>
    <row r="77" ht="22.5" customHeight="1">
      <c r="A77" s="7" t="s">
        <v>541</v>
      </c>
      <c r="B77" s="8" t="s">
        <v>542</v>
      </c>
      <c r="C77" s="9" t="s">
        <v>521</v>
      </c>
      <c r="D77" s="9" t="s">
        <v>183</v>
      </c>
      <c r="E77" s="7" t="s">
        <v>543</v>
      </c>
      <c r="F77" s="7" t="s">
        <v>544</v>
      </c>
      <c r="G77" s="8" t="s">
        <v>545</v>
      </c>
      <c r="H77" s="7" t="s">
        <v>546</v>
      </c>
      <c r="I77" s="9" t="s">
        <v>25</v>
      </c>
      <c r="J77" s="9" t="s">
        <v>26</v>
      </c>
      <c r="K77" s="9" t="s">
        <v>26</v>
      </c>
      <c r="L77" s="7" t="s">
        <v>26</v>
      </c>
      <c r="M77" s="7" t="s">
        <v>26</v>
      </c>
      <c r="N77" s="7" t="s">
        <v>27</v>
      </c>
      <c r="O77" s="10">
        <v>13.0</v>
      </c>
      <c r="P77" s="7" t="s">
        <v>547</v>
      </c>
    </row>
    <row r="78" ht="22.5" customHeight="1">
      <c r="A78" s="7" t="s">
        <v>548</v>
      </c>
      <c r="B78" s="8" t="s">
        <v>549</v>
      </c>
      <c r="C78" s="9" t="s">
        <v>521</v>
      </c>
      <c r="D78" s="9" t="s">
        <v>183</v>
      </c>
      <c r="E78" s="7" t="s">
        <v>55</v>
      </c>
      <c r="F78" s="7" t="s">
        <v>550</v>
      </c>
      <c r="G78" s="8" t="s">
        <v>551</v>
      </c>
      <c r="H78" s="7" t="s">
        <v>552</v>
      </c>
      <c r="I78" s="9" t="s">
        <v>51</v>
      </c>
      <c r="J78" s="9" t="s">
        <v>26</v>
      </c>
      <c r="K78" s="9" t="s">
        <v>26</v>
      </c>
      <c r="L78" s="7" t="s">
        <v>26</v>
      </c>
      <c r="M78" s="7" t="s">
        <v>26</v>
      </c>
      <c r="N78" s="7" t="s">
        <v>27</v>
      </c>
      <c r="O78" s="10">
        <v>13.0</v>
      </c>
      <c r="P78" s="7" t="s">
        <v>553</v>
      </c>
    </row>
    <row r="79" ht="22.5" customHeight="1">
      <c r="A79" s="7" t="s">
        <v>554</v>
      </c>
      <c r="B79" s="8" t="s">
        <v>555</v>
      </c>
      <c r="C79" s="9" t="s">
        <v>521</v>
      </c>
      <c r="D79" s="9" t="s">
        <v>183</v>
      </c>
      <c r="E79" s="7" t="s">
        <v>55</v>
      </c>
      <c r="F79" s="7" t="s">
        <v>556</v>
      </c>
      <c r="G79" s="8" t="s">
        <v>557</v>
      </c>
      <c r="H79" s="7" t="s">
        <v>558</v>
      </c>
      <c r="I79" s="9" t="s">
        <v>51</v>
      </c>
      <c r="J79" s="9" t="s">
        <v>26</v>
      </c>
      <c r="K79" s="9" t="s">
        <v>26</v>
      </c>
      <c r="L79" s="7" t="s">
        <v>26</v>
      </c>
      <c r="M79" s="7" t="s">
        <v>26</v>
      </c>
      <c r="N79" s="7" t="s">
        <v>27</v>
      </c>
      <c r="O79" s="10">
        <v>13.0</v>
      </c>
      <c r="P79" s="7" t="s">
        <v>559</v>
      </c>
    </row>
    <row r="80" ht="22.5" customHeight="1">
      <c r="A80" s="7" t="s">
        <v>560</v>
      </c>
      <c r="B80" s="8" t="s">
        <v>561</v>
      </c>
      <c r="C80" s="9" t="s">
        <v>521</v>
      </c>
      <c r="D80" s="9" t="s">
        <v>20</v>
      </c>
      <c r="E80" s="7" t="s">
        <v>562</v>
      </c>
      <c r="F80" s="7" t="s">
        <v>563</v>
      </c>
      <c r="G80" s="8" t="s">
        <v>564</v>
      </c>
      <c r="H80" s="7" t="s">
        <v>558</v>
      </c>
      <c r="I80" s="9" t="s">
        <v>51</v>
      </c>
      <c r="J80" s="9" t="s">
        <v>26</v>
      </c>
      <c r="K80" s="9" t="s">
        <v>26</v>
      </c>
      <c r="L80" s="7" t="s">
        <v>26</v>
      </c>
      <c r="M80" s="7" t="s">
        <v>26</v>
      </c>
      <c r="N80" s="7" t="s">
        <v>27</v>
      </c>
      <c r="O80" s="10">
        <v>13.0</v>
      </c>
      <c r="P80" s="7" t="s">
        <v>565</v>
      </c>
    </row>
    <row r="81" ht="22.5" customHeight="1">
      <c r="A81" s="7" t="s">
        <v>566</v>
      </c>
      <c r="B81" s="8" t="s">
        <v>567</v>
      </c>
      <c r="C81" s="9" t="s">
        <v>521</v>
      </c>
      <c r="D81" s="9" t="s">
        <v>568</v>
      </c>
      <c r="E81" s="7" t="s">
        <v>569</v>
      </c>
      <c r="F81" s="7" t="s">
        <v>570</v>
      </c>
      <c r="G81" s="8" t="s">
        <v>571</v>
      </c>
      <c r="H81" s="7" t="s">
        <v>572</v>
      </c>
      <c r="I81" s="9" t="s">
        <v>51</v>
      </c>
      <c r="J81" s="9" t="s">
        <v>26</v>
      </c>
      <c r="K81" s="9" t="s">
        <v>26</v>
      </c>
      <c r="L81" s="7" t="s">
        <v>26</v>
      </c>
      <c r="M81" s="7" t="s">
        <v>26</v>
      </c>
      <c r="N81" s="7" t="s">
        <v>27</v>
      </c>
      <c r="O81" s="10">
        <v>13.0</v>
      </c>
      <c r="P81" s="7" t="s">
        <v>573</v>
      </c>
    </row>
    <row r="82" ht="22.5" customHeight="1">
      <c r="A82" s="7" t="s">
        <v>574</v>
      </c>
      <c r="B82" s="8" t="s">
        <v>575</v>
      </c>
      <c r="C82" s="9" t="s">
        <v>521</v>
      </c>
      <c r="D82" s="9" t="s">
        <v>568</v>
      </c>
      <c r="E82" s="7" t="s">
        <v>576</v>
      </c>
      <c r="F82" s="7" t="s">
        <v>577</v>
      </c>
      <c r="G82" s="8" t="s">
        <v>578</v>
      </c>
      <c r="H82" s="7" t="s">
        <v>579</v>
      </c>
      <c r="I82" s="9" t="s">
        <v>51</v>
      </c>
      <c r="J82" s="9" t="s">
        <v>26</v>
      </c>
      <c r="K82" s="9" t="s">
        <v>26</v>
      </c>
      <c r="L82" s="7" t="s">
        <v>26</v>
      </c>
      <c r="M82" s="7" t="s">
        <v>26</v>
      </c>
      <c r="N82" s="7" t="s">
        <v>27</v>
      </c>
      <c r="O82" s="10">
        <v>13.0</v>
      </c>
      <c r="P82" s="7" t="s">
        <v>580</v>
      </c>
    </row>
    <row r="83" ht="22.5" customHeight="1">
      <c r="A83" s="7" t="s">
        <v>581</v>
      </c>
      <c r="B83" s="8" t="s">
        <v>582</v>
      </c>
      <c r="C83" s="9" t="s">
        <v>521</v>
      </c>
      <c r="D83" s="9" t="s">
        <v>568</v>
      </c>
      <c r="E83" s="7" t="s">
        <v>569</v>
      </c>
      <c r="F83" s="7" t="s">
        <v>583</v>
      </c>
      <c r="G83" s="8" t="s">
        <v>584</v>
      </c>
      <c r="H83" s="7" t="s">
        <v>585</v>
      </c>
      <c r="I83" s="9" t="s">
        <v>51</v>
      </c>
      <c r="J83" s="9" t="s">
        <v>26</v>
      </c>
      <c r="K83" s="9" t="s">
        <v>26</v>
      </c>
      <c r="L83" s="7" t="s">
        <v>26</v>
      </c>
      <c r="M83" s="7" t="s">
        <v>26</v>
      </c>
      <c r="N83" s="7" t="s">
        <v>27</v>
      </c>
      <c r="O83" s="10">
        <v>13.0</v>
      </c>
      <c r="P83" s="7" t="s">
        <v>586</v>
      </c>
    </row>
    <row r="84" ht="22.5" customHeight="1">
      <c r="A84" s="7" t="s">
        <v>587</v>
      </c>
      <c r="B84" s="8" t="s">
        <v>588</v>
      </c>
      <c r="C84" s="9" t="s">
        <v>521</v>
      </c>
      <c r="D84" s="9" t="s">
        <v>31</v>
      </c>
      <c r="E84" s="7" t="s">
        <v>465</v>
      </c>
      <c r="F84" s="7" t="s">
        <v>589</v>
      </c>
      <c r="G84" s="8" t="s">
        <v>590</v>
      </c>
      <c r="H84" s="7" t="s">
        <v>591</v>
      </c>
      <c r="I84" s="9" t="s">
        <v>25</v>
      </c>
      <c r="J84" s="9" t="s">
        <v>26</v>
      </c>
      <c r="K84" s="9" t="s">
        <v>26</v>
      </c>
      <c r="L84" s="7" t="s">
        <v>26</v>
      </c>
      <c r="M84" s="7" t="s">
        <v>26</v>
      </c>
      <c r="N84" s="7" t="s">
        <v>27</v>
      </c>
      <c r="O84" s="10">
        <v>13.0</v>
      </c>
      <c r="P84" s="7" t="s">
        <v>592</v>
      </c>
    </row>
    <row r="85" ht="22.5" customHeight="1">
      <c r="A85" s="7" t="s">
        <v>593</v>
      </c>
      <c r="B85" s="8" t="s">
        <v>594</v>
      </c>
      <c r="C85" s="9" t="s">
        <v>521</v>
      </c>
      <c r="D85" s="9" t="s">
        <v>31</v>
      </c>
      <c r="E85" s="7" t="s">
        <v>465</v>
      </c>
      <c r="F85" s="8" t="s">
        <v>594</v>
      </c>
      <c r="G85" s="8" t="s">
        <v>595</v>
      </c>
      <c r="H85" s="7" t="s">
        <v>596</v>
      </c>
      <c r="I85" s="9" t="s">
        <v>51</v>
      </c>
      <c r="J85" s="9" t="s">
        <v>26</v>
      </c>
      <c r="K85" s="9" t="s">
        <v>26</v>
      </c>
      <c r="L85" s="7" t="s">
        <v>26</v>
      </c>
      <c r="M85" s="7" t="s">
        <v>26</v>
      </c>
      <c r="N85" s="7" t="s">
        <v>27</v>
      </c>
      <c r="O85" s="10">
        <v>13.0</v>
      </c>
      <c r="P85" s="7" t="s">
        <v>597</v>
      </c>
    </row>
    <row r="86" ht="22.5" customHeight="1">
      <c r="A86" s="7" t="s">
        <v>598</v>
      </c>
      <c r="B86" s="8" t="s">
        <v>599</v>
      </c>
      <c r="C86" s="9" t="s">
        <v>521</v>
      </c>
      <c r="D86" s="9" t="s">
        <v>20</v>
      </c>
      <c r="E86" s="7" t="s">
        <v>600</v>
      </c>
      <c r="F86" s="7" t="s">
        <v>601</v>
      </c>
      <c r="G86" s="8" t="s">
        <v>602</v>
      </c>
      <c r="H86" s="7" t="s">
        <v>603</v>
      </c>
      <c r="I86" s="9" t="s">
        <v>51</v>
      </c>
      <c r="J86" s="9" t="s">
        <v>26</v>
      </c>
      <c r="K86" s="9" t="s">
        <v>26</v>
      </c>
      <c r="L86" s="7" t="s">
        <v>26</v>
      </c>
      <c r="M86" s="7" t="s">
        <v>26</v>
      </c>
      <c r="N86" s="7" t="s">
        <v>27</v>
      </c>
      <c r="O86" s="10">
        <v>13.0</v>
      </c>
      <c r="P86" s="7" t="s">
        <v>604</v>
      </c>
    </row>
    <row r="87" ht="22.5" customHeight="1">
      <c r="A87" s="7" t="s">
        <v>605</v>
      </c>
      <c r="B87" s="8" t="s">
        <v>606</v>
      </c>
      <c r="C87" s="9" t="s">
        <v>521</v>
      </c>
      <c r="D87" s="9" t="s">
        <v>31</v>
      </c>
      <c r="E87" s="7" t="s">
        <v>562</v>
      </c>
      <c r="F87" s="7" t="s">
        <v>607</v>
      </c>
      <c r="G87" s="8" t="s">
        <v>608</v>
      </c>
      <c r="H87" s="7" t="s">
        <v>609</v>
      </c>
      <c r="I87" s="9" t="s">
        <v>51</v>
      </c>
      <c r="J87" s="9" t="s">
        <v>26</v>
      </c>
      <c r="K87" s="9" t="s">
        <v>26</v>
      </c>
      <c r="L87" s="7" t="s">
        <v>26</v>
      </c>
      <c r="M87" s="7" t="s">
        <v>26</v>
      </c>
      <c r="N87" s="7" t="s">
        <v>27</v>
      </c>
      <c r="O87" s="10">
        <v>13.0</v>
      </c>
      <c r="P87" s="7" t="s">
        <v>610</v>
      </c>
    </row>
    <row r="88" ht="22.5" customHeight="1">
      <c r="A88" s="7" t="s">
        <v>611</v>
      </c>
      <c r="B88" s="8" t="s">
        <v>612</v>
      </c>
      <c r="C88" s="9" t="s">
        <v>521</v>
      </c>
      <c r="D88" s="9" t="s">
        <v>31</v>
      </c>
      <c r="E88" s="7" t="s">
        <v>613</v>
      </c>
      <c r="F88" s="7" t="s">
        <v>614</v>
      </c>
      <c r="G88" s="8" t="s">
        <v>615</v>
      </c>
      <c r="H88" s="7" t="s">
        <v>616</v>
      </c>
      <c r="I88" s="9" t="s">
        <v>25</v>
      </c>
      <c r="J88" s="9" t="s">
        <v>26</v>
      </c>
      <c r="K88" s="9" t="s">
        <v>26</v>
      </c>
      <c r="L88" s="7" t="s">
        <v>26</v>
      </c>
      <c r="M88" s="7" t="s">
        <v>26</v>
      </c>
      <c r="N88" s="7" t="s">
        <v>27</v>
      </c>
      <c r="O88" s="10">
        <v>13.0</v>
      </c>
      <c r="P88" s="7" t="s">
        <v>617</v>
      </c>
    </row>
    <row r="89" ht="22.5" customHeight="1">
      <c r="A89" s="7" t="s">
        <v>618</v>
      </c>
      <c r="B89" s="8" t="s">
        <v>619</v>
      </c>
      <c r="C89" s="9" t="s">
        <v>521</v>
      </c>
      <c r="D89" s="9" t="s">
        <v>183</v>
      </c>
      <c r="E89" s="7" t="s">
        <v>529</v>
      </c>
      <c r="F89" s="7" t="s">
        <v>620</v>
      </c>
      <c r="G89" s="8" t="s">
        <v>621</v>
      </c>
      <c r="H89" s="7" t="s">
        <v>622</v>
      </c>
      <c r="I89" s="9" t="s">
        <v>51</v>
      </c>
      <c r="J89" s="9" t="s">
        <v>26</v>
      </c>
      <c r="K89" s="9" t="s">
        <v>26</v>
      </c>
      <c r="L89" s="7" t="s">
        <v>26</v>
      </c>
      <c r="M89" s="7" t="s">
        <v>26</v>
      </c>
      <c r="N89" s="7" t="s">
        <v>27</v>
      </c>
      <c r="O89" s="10">
        <v>13.0</v>
      </c>
      <c r="P89" s="7" t="s">
        <v>623</v>
      </c>
    </row>
    <row r="90" ht="22.5" customHeight="1">
      <c r="A90" s="7" t="s">
        <v>624</v>
      </c>
      <c r="B90" s="8" t="s">
        <v>625</v>
      </c>
      <c r="C90" s="9" t="s">
        <v>521</v>
      </c>
      <c r="D90" s="9" t="s">
        <v>183</v>
      </c>
      <c r="E90" s="7" t="s">
        <v>529</v>
      </c>
      <c r="F90" s="7" t="s">
        <v>626</v>
      </c>
      <c r="G90" s="8" t="s">
        <v>627</v>
      </c>
      <c r="H90" s="7" t="s">
        <v>628</v>
      </c>
      <c r="I90" s="9" t="s">
        <v>51</v>
      </c>
      <c r="J90" s="9" t="s">
        <v>26</v>
      </c>
      <c r="K90" s="9" t="s">
        <v>26</v>
      </c>
      <c r="L90" s="7" t="s">
        <v>26</v>
      </c>
      <c r="M90" s="7" t="s">
        <v>26</v>
      </c>
      <c r="N90" s="7" t="s">
        <v>27</v>
      </c>
      <c r="O90" s="10">
        <v>13.0</v>
      </c>
      <c r="P90" s="7" t="s">
        <v>629</v>
      </c>
    </row>
    <row r="91" ht="22.5" customHeight="1">
      <c r="A91" s="7" t="s">
        <v>630</v>
      </c>
      <c r="B91" s="8" t="s">
        <v>631</v>
      </c>
      <c r="C91" s="9" t="s">
        <v>521</v>
      </c>
      <c r="D91" s="9" t="s">
        <v>252</v>
      </c>
      <c r="E91" s="7" t="s">
        <v>632</v>
      </c>
      <c r="F91" s="7" t="s">
        <v>633</v>
      </c>
      <c r="G91" s="8" t="s">
        <v>634</v>
      </c>
      <c r="H91" s="7" t="s">
        <v>635</v>
      </c>
      <c r="I91" s="9" t="s">
        <v>25</v>
      </c>
      <c r="J91" s="9" t="s">
        <v>26</v>
      </c>
      <c r="K91" s="9" t="s">
        <v>26</v>
      </c>
      <c r="L91" s="7" t="s">
        <v>26</v>
      </c>
      <c r="M91" s="7" t="s">
        <v>26</v>
      </c>
      <c r="N91" s="7" t="s">
        <v>27</v>
      </c>
      <c r="O91" s="10">
        <v>13.0</v>
      </c>
      <c r="P91" s="7" t="s">
        <v>636</v>
      </c>
    </row>
    <row r="92" ht="22.5" customHeight="1">
      <c r="A92" s="7" t="s">
        <v>637</v>
      </c>
      <c r="B92" s="8" t="s">
        <v>638</v>
      </c>
      <c r="C92" s="9" t="s">
        <v>521</v>
      </c>
      <c r="D92" s="9" t="s">
        <v>183</v>
      </c>
      <c r="E92" s="7" t="s">
        <v>639</v>
      </c>
      <c r="F92" s="7" t="s">
        <v>640</v>
      </c>
      <c r="G92" s="8" t="s">
        <v>641</v>
      </c>
      <c r="H92" s="7" t="s">
        <v>635</v>
      </c>
      <c r="I92" s="9" t="s">
        <v>25</v>
      </c>
      <c r="J92" s="9" t="s">
        <v>26</v>
      </c>
      <c r="K92" s="9" t="s">
        <v>26</v>
      </c>
      <c r="L92" s="7" t="s">
        <v>26</v>
      </c>
      <c r="M92" s="7" t="s">
        <v>26</v>
      </c>
      <c r="N92" s="7" t="s">
        <v>27</v>
      </c>
      <c r="O92" s="10">
        <v>13.0</v>
      </c>
      <c r="P92" s="7" t="s">
        <v>642</v>
      </c>
    </row>
    <row r="93" ht="22.5" customHeight="1">
      <c r="A93" s="7" t="s">
        <v>643</v>
      </c>
      <c r="B93" s="8" t="s">
        <v>644</v>
      </c>
      <c r="C93" s="9" t="s">
        <v>521</v>
      </c>
      <c r="D93" s="9" t="s">
        <v>31</v>
      </c>
      <c r="E93" s="7" t="s">
        <v>32</v>
      </c>
      <c r="F93" s="7" t="s">
        <v>645</v>
      </c>
      <c r="G93" s="8" t="s">
        <v>646</v>
      </c>
      <c r="H93" s="7" t="s">
        <v>647</v>
      </c>
      <c r="I93" s="9" t="s">
        <v>51</v>
      </c>
      <c r="J93" s="9" t="s">
        <v>26</v>
      </c>
      <c r="K93" s="9" t="s">
        <v>26</v>
      </c>
      <c r="L93" s="7" t="s">
        <v>26</v>
      </c>
      <c r="M93" s="7" t="s">
        <v>26</v>
      </c>
      <c r="N93" s="7" t="s">
        <v>27</v>
      </c>
      <c r="O93" s="10">
        <v>13.0</v>
      </c>
      <c r="P93" s="7" t="s">
        <v>648</v>
      </c>
    </row>
    <row r="94" ht="22.5" customHeight="1">
      <c r="A94" s="7" t="s">
        <v>649</v>
      </c>
      <c r="B94" s="8" t="s">
        <v>650</v>
      </c>
      <c r="C94" s="9" t="s">
        <v>521</v>
      </c>
      <c r="D94" s="9" t="s">
        <v>183</v>
      </c>
      <c r="E94" s="7" t="s">
        <v>639</v>
      </c>
      <c r="F94" s="7" t="s">
        <v>651</v>
      </c>
      <c r="G94" s="8" t="s">
        <v>652</v>
      </c>
      <c r="H94" s="7" t="s">
        <v>653</v>
      </c>
      <c r="I94" s="9" t="s">
        <v>51</v>
      </c>
      <c r="J94" s="9" t="s">
        <v>26</v>
      </c>
      <c r="K94" s="9" t="s">
        <v>26</v>
      </c>
      <c r="L94" s="7" t="s">
        <v>26</v>
      </c>
      <c r="M94" s="7" t="s">
        <v>26</v>
      </c>
      <c r="N94" s="7" t="s">
        <v>27</v>
      </c>
      <c r="O94" s="10">
        <v>13.0</v>
      </c>
      <c r="P94" s="7" t="s">
        <v>654</v>
      </c>
    </row>
    <row r="95" ht="22.5" customHeight="1">
      <c r="A95" s="7" t="s">
        <v>655</v>
      </c>
      <c r="B95" s="8" t="s">
        <v>656</v>
      </c>
      <c r="C95" s="9" t="s">
        <v>521</v>
      </c>
      <c r="D95" s="9" t="s">
        <v>183</v>
      </c>
      <c r="E95" s="7" t="s">
        <v>657</v>
      </c>
      <c r="F95" s="7" t="s">
        <v>658</v>
      </c>
      <c r="G95" s="8" t="s">
        <v>659</v>
      </c>
      <c r="H95" s="7" t="s">
        <v>660</v>
      </c>
      <c r="I95" s="9" t="s">
        <v>25</v>
      </c>
      <c r="J95" s="9" t="s">
        <v>26</v>
      </c>
      <c r="K95" s="9" t="s">
        <v>26</v>
      </c>
      <c r="L95" s="7" t="s">
        <v>26</v>
      </c>
      <c r="M95" s="7" t="s">
        <v>26</v>
      </c>
      <c r="N95" s="7" t="s">
        <v>27</v>
      </c>
      <c r="O95" s="10">
        <v>13.0</v>
      </c>
      <c r="P95" s="7" t="s">
        <v>661</v>
      </c>
    </row>
    <row r="96" ht="22.5" customHeight="1">
      <c r="A96" s="7" t="s">
        <v>662</v>
      </c>
      <c r="B96" s="8" t="s">
        <v>663</v>
      </c>
      <c r="C96" s="9" t="s">
        <v>521</v>
      </c>
      <c r="D96" s="9" t="s">
        <v>31</v>
      </c>
      <c r="E96" s="7" t="s">
        <v>639</v>
      </c>
      <c r="F96" s="7" t="s">
        <v>664</v>
      </c>
      <c r="G96" s="8" t="s">
        <v>665</v>
      </c>
      <c r="H96" s="7" t="s">
        <v>666</v>
      </c>
      <c r="I96" s="9" t="s">
        <v>51</v>
      </c>
      <c r="J96" s="9" t="s">
        <v>26</v>
      </c>
      <c r="K96" s="9" t="s">
        <v>26</v>
      </c>
      <c r="L96" s="7" t="s">
        <v>26</v>
      </c>
      <c r="M96" s="7" t="s">
        <v>26</v>
      </c>
      <c r="N96" s="7" t="s">
        <v>27</v>
      </c>
      <c r="O96" s="10">
        <v>13.0</v>
      </c>
      <c r="P96" s="7" t="s">
        <v>667</v>
      </c>
    </row>
    <row r="97" ht="22.5" customHeight="1">
      <c r="A97" s="7" t="s">
        <v>668</v>
      </c>
      <c r="B97" s="8" t="s">
        <v>669</v>
      </c>
      <c r="C97" s="9" t="s">
        <v>521</v>
      </c>
      <c r="D97" s="9" t="s">
        <v>31</v>
      </c>
      <c r="E97" s="7" t="s">
        <v>32</v>
      </c>
      <c r="F97" s="7" t="s">
        <v>670</v>
      </c>
      <c r="G97" s="8" t="s">
        <v>671</v>
      </c>
      <c r="H97" s="7" t="s">
        <v>672</v>
      </c>
      <c r="I97" s="9" t="s">
        <v>25</v>
      </c>
      <c r="J97" s="9" t="s">
        <v>26</v>
      </c>
      <c r="K97" s="9" t="s">
        <v>26</v>
      </c>
      <c r="L97" s="7" t="s">
        <v>26</v>
      </c>
      <c r="M97" s="7" t="s">
        <v>26</v>
      </c>
      <c r="N97" s="7" t="s">
        <v>27</v>
      </c>
      <c r="O97" s="10">
        <v>13.0</v>
      </c>
      <c r="P97" s="7" t="s">
        <v>673</v>
      </c>
    </row>
    <row r="98" ht="22.5" customHeight="1">
      <c r="A98" s="7" t="s">
        <v>674</v>
      </c>
      <c r="B98" s="8" t="s">
        <v>675</v>
      </c>
      <c r="C98" s="9" t="s">
        <v>521</v>
      </c>
      <c r="D98" s="9" t="s">
        <v>31</v>
      </c>
      <c r="E98" s="7" t="s">
        <v>465</v>
      </c>
      <c r="F98" s="7" t="s">
        <v>676</v>
      </c>
      <c r="G98" s="8" t="s">
        <v>677</v>
      </c>
      <c r="H98" s="7" t="s">
        <v>678</v>
      </c>
      <c r="I98" s="9" t="s">
        <v>25</v>
      </c>
      <c r="J98" s="9" t="s">
        <v>26</v>
      </c>
      <c r="K98" s="9" t="s">
        <v>26</v>
      </c>
      <c r="L98" s="7" t="s">
        <v>26</v>
      </c>
      <c r="M98" s="7" t="s">
        <v>26</v>
      </c>
      <c r="N98" s="7" t="s">
        <v>27</v>
      </c>
      <c r="O98" s="10">
        <v>13.0</v>
      </c>
      <c r="P98" s="7" t="s">
        <v>679</v>
      </c>
    </row>
    <row r="99" ht="22.5" customHeight="1">
      <c r="A99" s="7" t="s">
        <v>680</v>
      </c>
      <c r="B99" s="8" t="s">
        <v>681</v>
      </c>
      <c r="C99" s="9" t="s">
        <v>521</v>
      </c>
      <c r="D99" s="9" t="s">
        <v>31</v>
      </c>
      <c r="E99" s="7" t="s">
        <v>32</v>
      </c>
      <c r="F99" s="7" t="s">
        <v>682</v>
      </c>
      <c r="G99" s="8" t="s">
        <v>683</v>
      </c>
      <c r="H99" s="7" t="s">
        <v>684</v>
      </c>
      <c r="I99" s="9" t="s">
        <v>51</v>
      </c>
      <c r="J99" s="9" t="s">
        <v>26</v>
      </c>
      <c r="K99" s="9" t="s">
        <v>26</v>
      </c>
      <c r="L99" s="7" t="s">
        <v>26</v>
      </c>
      <c r="M99" s="7" t="s">
        <v>26</v>
      </c>
      <c r="N99" s="7" t="s">
        <v>27</v>
      </c>
      <c r="O99" s="10">
        <v>13.0</v>
      </c>
      <c r="P99" s="7" t="s">
        <v>685</v>
      </c>
    </row>
    <row r="100" ht="22.5" customHeight="1">
      <c r="A100" s="7" t="s">
        <v>686</v>
      </c>
      <c r="B100" s="8" t="s">
        <v>687</v>
      </c>
      <c r="C100" s="9" t="s">
        <v>521</v>
      </c>
      <c r="D100" s="9" t="s">
        <v>183</v>
      </c>
      <c r="E100" s="7" t="s">
        <v>529</v>
      </c>
      <c r="F100" s="7" t="s">
        <v>688</v>
      </c>
      <c r="G100" s="8" t="s">
        <v>689</v>
      </c>
      <c r="H100" s="7" t="s">
        <v>690</v>
      </c>
      <c r="I100" s="9" t="s">
        <v>51</v>
      </c>
      <c r="J100" s="9" t="s">
        <v>26</v>
      </c>
      <c r="K100" s="9" t="s">
        <v>26</v>
      </c>
      <c r="L100" s="7" t="s">
        <v>26</v>
      </c>
      <c r="M100" s="7" t="s">
        <v>26</v>
      </c>
      <c r="N100" s="7" t="s">
        <v>27</v>
      </c>
      <c r="O100" s="10">
        <v>13.0</v>
      </c>
      <c r="P100" s="7" t="s">
        <v>691</v>
      </c>
    </row>
    <row r="101" ht="22.5" customHeight="1">
      <c r="A101" s="7" t="s">
        <v>692</v>
      </c>
      <c r="B101" s="8" t="s">
        <v>693</v>
      </c>
      <c r="C101" s="9" t="s">
        <v>521</v>
      </c>
      <c r="D101" s="9" t="s">
        <v>31</v>
      </c>
      <c r="E101" s="7" t="s">
        <v>311</v>
      </c>
      <c r="F101" s="7" t="s">
        <v>694</v>
      </c>
      <c r="G101" s="7" t="s">
        <v>694</v>
      </c>
      <c r="H101" s="7" t="s">
        <v>695</v>
      </c>
      <c r="I101" s="9" t="s">
        <v>25</v>
      </c>
      <c r="J101" s="9" t="s">
        <v>26</v>
      </c>
      <c r="K101" s="9" t="s">
        <v>26</v>
      </c>
      <c r="L101" s="7" t="s">
        <v>26</v>
      </c>
      <c r="M101" s="7" t="s">
        <v>26</v>
      </c>
      <c r="N101" s="7" t="s">
        <v>27</v>
      </c>
      <c r="O101" s="10">
        <v>13.0</v>
      </c>
      <c r="P101" s="7" t="s">
        <v>696</v>
      </c>
    </row>
    <row r="102" ht="22.5" customHeight="1">
      <c r="A102" s="7" t="s">
        <v>697</v>
      </c>
      <c r="B102" s="8" t="s">
        <v>698</v>
      </c>
      <c r="C102" s="9" t="s">
        <v>521</v>
      </c>
      <c r="D102" s="9" t="s">
        <v>31</v>
      </c>
      <c r="E102" s="7" t="s">
        <v>613</v>
      </c>
      <c r="F102" s="7" t="s">
        <v>699</v>
      </c>
      <c r="G102" s="8" t="s">
        <v>700</v>
      </c>
      <c r="H102" s="7" t="s">
        <v>701</v>
      </c>
      <c r="I102" s="9" t="s">
        <v>25</v>
      </c>
      <c r="J102" s="9" t="s">
        <v>26</v>
      </c>
      <c r="K102" s="9" t="s">
        <v>26</v>
      </c>
      <c r="L102" s="7" t="s">
        <v>26</v>
      </c>
      <c r="M102" s="7" t="s">
        <v>26</v>
      </c>
      <c r="N102" s="7" t="s">
        <v>27</v>
      </c>
      <c r="O102" s="10">
        <v>13.0</v>
      </c>
      <c r="P102" s="7" t="s">
        <v>702</v>
      </c>
    </row>
    <row r="103" ht="22.5" customHeight="1">
      <c r="A103" s="7" t="s">
        <v>703</v>
      </c>
      <c r="B103" s="8" t="s">
        <v>704</v>
      </c>
      <c r="C103" s="9" t="s">
        <v>521</v>
      </c>
      <c r="D103" s="9" t="s">
        <v>31</v>
      </c>
      <c r="E103" s="7" t="s">
        <v>639</v>
      </c>
      <c r="F103" s="8" t="s">
        <v>704</v>
      </c>
      <c r="G103" s="8" t="s">
        <v>705</v>
      </c>
      <c r="H103" s="7" t="s">
        <v>706</v>
      </c>
      <c r="I103" s="9" t="s">
        <v>51</v>
      </c>
      <c r="J103" s="9" t="s">
        <v>26</v>
      </c>
      <c r="K103" s="9" t="s">
        <v>26</v>
      </c>
      <c r="L103" s="7" t="s">
        <v>26</v>
      </c>
      <c r="M103" s="7" t="s">
        <v>26</v>
      </c>
      <c r="N103" s="7" t="s">
        <v>27</v>
      </c>
      <c r="O103" s="10">
        <v>13.0</v>
      </c>
      <c r="P103" s="7" t="s">
        <v>707</v>
      </c>
    </row>
    <row r="104" ht="22.5" customHeight="1">
      <c r="A104" s="7" t="s">
        <v>708</v>
      </c>
      <c r="B104" s="8" t="s">
        <v>709</v>
      </c>
      <c r="C104" s="9" t="s">
        <v>521</v>
      </c>
      <c r="D104" s="9" t="s">
        <v>31</v>
      </c>
      <c r="E104" s="7" t="s">
        <v>710</v>
      </c>
      <c r="F104" s="7" t="s">
        <v>711</v>
      </c>
      <c r="G104" s="8" t="s">
        <v>712</v>
      </c>
      <c r="H104" s="7" t="s">
        <v>713</v>
      </c>
      <c r="I104" s="9" t="s">
        <v>25</v>
      </c>
      <c r="J104" s="9" t="s">
        <v>26</v>
      </c>
      <c r="K104" s="9" t="s">
        <v>26</v>
      </c>
      <c r="L104" s="7" t="s">
        <v>26</v>
      </c>
      <c r="M104" s="7" t="s">
        <v>26</v>
      </c>
      <c r="N104" s="7" t="s">
        <v>27</v>
      </c>
      <c r="O104" s="10">
        <v>13.0</v>
      </c>
      <c r="P104" s="7" t="s">
        <v>714</v>
      </c>
    </row>
    <row r="105" ht="22.5" customHeight="1">
      <c r="A105" s="7" t="s">
        <v>715</v>
      </c>
      <c r="B105" s="8" t="s">
        <v>716</v>
      </c>
      <c r="C105" s="9" t="s">
        <v>521</v>
      </c>
      <c r="D105" s="9" t="s">
        <v>31</v>
      </c>
      <c r="E105" s="7" t="s">
        <v>311</v>
      </c>
      <c r="F105" s="7" t="s">
        <v>717</v>
      </c>
      <c r="G105" s="8" t="s">
        <v>718</v>
      </c>
      <c r="H105" s="7" t="s">
        <v>719</v>
      </c>
      <c r="I105" s="9" t="s">
        <v>25</v>
      </c>
      <c r="J105" s="9" t="s">
        <v>26</v>
      </c>
      <c r="K105" s="9" t="s">
        <v>26</v>
      </c>
      <c r="L105" s="7" t="s">
        <v>26</v>
      </c>
      <c r="M105" s="7" t="s">
        <v>26</v>
      </c>
      <c r="N105" s="7" t="s">
        <v>27</v>
      </c>
      <c r="O105" s="10">
        <v>13.0</v>
      </c>
      <c r="P105" s="7" t="s">
        <v>720</v>
      </c>
    </row>
    <row r="106" ht="22.5" customHeight="1">
      <c r="A106" s="7" t="s">
        <v>721</v>
      </c>
      <c r="B106" s="8" t="s">
        <v>722</v>
      </c>
      <c r="C106" s="9" t="s">
        <v>521</v>
      </c>
      <c r="D106" s="9" t="s">
        <v>183</v>
      </c>
      <c r="E106" s="7" t="s">
        <v>529</v>
      </c>
      <c r="F106" s="7" t="s">
        <v>723</v>
      </c>
      <c r="G106" s="8" t="s">
        <v>724</v>
      </c>
      <c r="H106" s="7" t="s">
        <v>725</v>
      </c>
      <c r="I106" s="9" t="s">
        <v>25</v>
      </c>
      <c r="J106" s="9" t="s">
        <v>26</v>
      </c>
      <c r="K106" s="9" t="s">
        <v>26</v>
      </c>
      <c r="L106" s="7" t="s">
        <v>26</v>
      </c>
      <c r="M106" s="7" t="s">
        <v>26</v>
      </c>
      <c r="N106" s="7" t="s">
        <v>27</v>
      </c>
      <c r="O106" s="10">
        <v>13.0</v>
      </c>
      <c r="P106" s="7" t="s">
        <v>726</v>
      </c>
    </row>
    <row r="107" ht="22.5" customHeight="1">
      <c r="A107" s="7" t="s">
        <v>727</v>
      </c>
      <c r="B107" s="8" t="s">
        <v>728</v>
      </c>
      <c r="C107" s="9" t="s">
        <v>521</v>
      </c>
      <c r="D107" s="9" t="s">
        <v>252</v>
      </c>
      <c r="E107" s="7" t="s">
        <v>729</v>
      </c>
      <c r="F107" s="7" t="s">
        <v>730</v>
      </c>
      <c r="G107" s="8" t="s">
        <v>731</v>
      </c>
      <c r="H107" s="7" t="s">
        <v>732</v>
      </c>
      <c r="I107" s="9" t="s">
        <v>51</v>
      </c>
      <c r="J107" s="9" t="s">
        <v>26</v>
      </c>
      <c r="K107" s="9" t="s">
        <v>26</v>
      </c>
      <c r="L107" s="7" t="s">
        <v>26</v>
      </c>
      <c r="M107" s="7" t="s">
        <v>26</v>
      </c>
      <c r="N107" s="7" t="s">
        <v>27</v>
      </c>
      <c r="O107" s="10">
        <v>13.0</v>
      </c>
      <c r="P107" s="7" t="s">
        <v>733</v>
      </c>
    </row>
    <row r="108" ht="22.5" customHeight="1">
      <c r="A108" s="7" t="s">
        <v>734</v>
      </c>
      <c r="B108" s="8" t="s">
        <v>735</v>
      </c>
      <c r="C108" s="9" t="s">
        <v>521</v>
      </c>
      <c r="D108" s="9" t="s">
        <v>31</v>
      </c>
      <c r="E108" s="7" t="s">
        <v>736</v>
      </c>
      <c r="F108" s="7" t="s">
        <v>737</v>
      </c>
      <c r="G108" s="8" t="s">
        <v>738</v>
      </c>
      <c r="H108" s="7" t="s">
        <v>739</v>
      </c>
      <c r="I108" s="9" t="s">
        <v>51</v>
      </c>
      <c r="J108" s="9" t="s">
        <v>26</v>
      </c>
      <c r="K108" s="9" t="s">
        <v>26</v>
      </c>
      <c r="L108" s="7" t="s">
        <v>26</v>
      </c>
      <c r="M108" s="7" t="s">
        <v>26</v>
      </c>
      <c r="N108" s="7" t="s">
        <v>27</v>
      </c>
      <c r="O108" s="10">
        <v>13.0</v>
      </c>
      <c r="P108" s="7" t="s">
        <v>740</v>
      </c>
    </row>
    <row r="109" ht="22.5" customHeight="1">
      <c r="A109" s="7" t="s">
        <v>741</v>
      </c>
      <c r="B109" s="8" t="s">
        <v>742</v>
      </c>
      <c r="C109" s="9" t="s">
        <v>521</v>
      </c>
      <c r="D109" s="9" t="s">
        <v>31</v>
      </c>
      <c r="E109" s="7" t="s">
        <v>736</v>
      </c>
      <c r="F109" s="7" t="s">
        <v>743</v>
      </c>
      <c r="G109" s="8" t="s">
        <v>744</v>
      </c>
      <c r="H109" s="7" t="s">
        <v>745</v>
      </c>
      <c r="I109" s="9" t="s">
        <v>25</v>
      </c>
      <c r="J109" s="9" t="s">
        <v>26</v>
      </c>
      <c r="K109" s="9" t="s">
        <v>26</v>
      </c>
      <c r="L109" s="7" t="s">
        <v>26</v>
      </c>
      <c r="M109" s="7" t="s">
        <v>26</v>
      </c>
      <c r="N109" s="7" t="s">
        <v>27</v>
      </c>
      <c r="O109" s="10">
        <v>13.0</v>
      </c>
      <c r="P109" s="7" t="s">
        <v>746</v>
      </c>
    </row>
    <row r="110" ht="22.5" customHeight="1">
      <c r="A110" s="7" t="s">
        <v>747</v>
      </c>
      <c r="B110" s="8" t="s">
        <v>748</v>
      </c>
      <c r="C110" s="9" t="s">
        <v>521</v>
      </c>
      <c r="D110" s="9" t="s">
        <v>31</v>
      </c>
      <c r="E110" s="7" t="s">
        <v>433</v>
      </c>
      <c r="F110" s="7" t="s">
        <v>749</v>
      </c>
      <c r="G110" s="8" t="s">
        <v>750</v>
      </c>
      <c r="H110" s="7" t="s">
        <v>751</v>
      </c>
      <c r="I110" s="9" t="s">
        <v>25</v>
      </c>
      <c r="J110" s="9" t="s">
        <v>26</v>
      </c>
      <c r="K110" s="9" t="s">
        <v>26</v>
      </c>
      <c r="L110" s="7" t="s">
        <v>26</v>
      </c>
      <c r="M110" s="7" t="s">
        <v>26</v>
      </c>
      <c r="N110" s="7" t="s">
        <v>27</v>
      </c>
      <c r="O110" s="10">
        <v>13.0</v>
      </c>
      <c r="P110" s="7" t="s">
        <v>752</v>
      </c>
    </row>
    <row r="111" ht="22.5" customHeight="1">
      <c r="A111" s="7" t="s">
        <v>753</v>
      </c>
      <c r="B111" s="8" t="s">
        <v>754</v>
      </c>
      <c r="C111" s="9" t="s">
        <v>521</v>
      </c>
      <c r="D111" s="9" t="s">
        <v>31</v>
      </c>
      <c r="E111" s="7" t="s">
        <v>433</v>
      </c>
      <c r="F111" s="7" t="s">
        <v>755</v>
      </c>
      <c r="G111" s="8" t="s">
        <v>756</v>
      </c>
      <c r="H111" s="7" t="s">
        <v>757</v>
      </c>
      <c r="I111" s="9" t="s">
        <v>51</v>
      </c>
      <c r="J111" s="9" t="s">
        <v>26</v>
      </c>
      <c r="K111" s="9" t="s">
        <v>26</v>
      </c>
      <c r="L111" s="7" t="s">
        <v>26</v>
      </c>
      <c r="M111" s="7" t="s">
        <v>26</v>
      </c>
      <c r="N111" s="7" t="s">
        <v>27</v>
      </c>
      <c r="O111" s="10">
        <v>13.0</v>
      </c>
      <c r="P111" s="7" t="s">
        <v>758</v>
      </c>
    </row>
    <row r="112" ht="22.5" customHeight="1">
      <c r="A112" s="7" t="s">
        <v>759</v>
      </c>
      <c r="B112" s="8" t="s">
        <v>760</v>
      </c>
      <c r="C112" s="9" t="s">
        <v>761</v>
      </c>
      <c r="D112" s="9" t="s">
        <v>183</v>
      </c>
      <c r="E112" s="7" t="s">
        <v>762</v>
      </c>
      <c r="F112" s="7" t="s">
        <v>763</v>
      </c>
      <c r="G112" s="8" t="s">
        <v>764</v>
      </c>
      <c r="H112" s="7" t="s">
        <v>765</v>
      </c>
      <c r="I112" s="9" t="s">
        <v>25</v>
      </c>
      <c r="J112" s="9" t="s">
        <v>26</v>
      </c>
      <c r="K112" s="9" t="s">
        <v>26</v>
      </c>
      <c r="L112" s="7" t="s">
        <v>26</v>
      </c>
      <c r="M112" s="7" t="s">
        <v>26</v>
      </c>
      <c r="N112" s="7" t="s">
        <v>27</v>
      </c>
      <c r="O112" s="10">
        <v>14.0</v>
      </c>
      <c r="P112" s="7" t="s">
        <v>766</v>
      </c>
    </row>
    <row r="113" ht="22.5" customHeight="1">
      <c r="A113" s="7" t="s">
        <v>767</v>
      </c>
      <c r="B113" s="8" t="s">
        <v>768</v>
      </c>
      <c r="C113" s="9" t="s">
        <v>761</v>
      </c>
      <c r="D113" s="9" t="s">
        <v>20</v>
      </c>
      <c r="E113" s="7" t="s">
        <v>769</v>
      </c>
      <c r="F113" s="7" t="s">
        <v>770</v>
      </c>
      <c r="G113" s="8" t="s">
        <v>771</v>
      </c>
      <c r="H113" s="7" t="s">
        <v>772</v>
      </c>
      <c r="I113" s="9" t="s">
        <v>25</v>
      </c>
      <c r="J113" s="9" t="s">
        <v>26</v>
      </c>
      <c r="K113" s="9" t="s">
        <v>26</v>
      </c>
      <c r="L113" s="7" t="s">
        <v>26</v>
      </c>
      <c r="M113" s="7" t="s">
        <v>26</v>
      </c>
      <c r="N113" s="7" t="s">
        <v>27</v>
      </c>
      <c r="O113" s="10">
        <v>14.0</v>
      </c>
      <c r="P113" s="7" t="s">
        <v>773</v>
      </c>
    </row>
    <row r="114" ht="22.5" customHeight="1">
      <c r="A114" s="7" t="s">
        <v>774</v>
      </c>
      <c r="B114" s="8" t="s">
        <v>775</v>
      </c>
      <c r="C114" s="9" t="s">
        <v>761</v>
      </c>
      <c r="D114" s="9" t="s">
        <v>183</v>
      </c>
      <c r="E114" s="7" t="s">
        <v>116</v>
      </c>
      <c r="F114" s="7" t="s">
        <v>776</v>
      </c>
      <c r="G114" s="8" t="s">
        <v>777</v>
      </c>
      <c r="H114" s="7" t="s">
        <v>778</v>
      </c>
      <c r="I114" s="9" t="s">
        <v>25</v>
      </c>
      <c r="J114" s="9" t="s">
        <v>26</v>
      </c>
      <c r="K114" s="9" t="s">
        <v>26</v>
      </c>
      <c r="L114" s="7" t="s">
        <v>26</v>
      </c>
      <c r="M114" s="7" t="s">
        <v>26</v>
      </c>
      <c r="N114" s="7" t="s">
        <v>27</v>
      </c>
      <c r="O114" s="10">
        <v>14.0</v>
      </c>
      <c r="P114" s="7" t="s">
        <v>779</v>
      </c>
    </row>
    <row r="115" ht="22.5" customHeight="1">
      <c r="A115" s="7" t="s">
        <v>780</v>
      </c>
      <c r="B115" s="8" t="s">
        <v>781</v>
      </c>
      <c r="C115" s="9" t="s">
        <v>761</v>
      </c>
      <c r="D115" s="9" t="s">
        <v>183</v>
      </c>
      <c r="E115" s="7" t="s">
        <v>116</v>
      </c>
      <c r="F115" s="7" t="s">
        <v>782</v>
      </c>
      <c r="G115" s="8" t="s">
        <v>783</v>
      </c>
      <c r="H115" s="7" t="s">
        <v>784</v>
      </c>
      <c r="I115" s="9" t="s">
        <v>25</v>
      </c>
      <c r="J115" s="9" t="s">
        <v>26</v>
      </c>
      <c r="K115" s="9" t="s">
        <v>26</v>
      </c>
      <c r="L115" s="7" t="s">
        <v>26</v>
      </c>
      <c r="M115" s="7" t="s">
        <v>26</v>
      </c>
      <c r="N115" s="7" t="s">
        <v>27</v>
      </c>
      <c r="O115" s="10">
        <v>14.0</v>
      </c>
      <c r="P115" s="7" t="s">
        <v>785</v>
      </c>
    </row>
    <row r="116" ht="22.5" customHeight="1">
      <c r="A116" s="7" t="s">
        <v>786</v>
      </c>
      <c r="B116" s="8" t="s">
        <v>787</v>
      </c>
      <c r="C116" s="9" t="s">
        <v>761</v>
      </c>
      <c r="D116" s="9" t="s">
        <v>183</v>
      </c>
      <c r="E116" s="7" t="s">
        <v>116</v>
      </c>
      <c r="F116" s="7" t="s">
        <v>788</v>
      </c>
      <c r="G116" s="8" t="s">
        <v>789</v>
      </c>
      <c r="H116" s="7" t="s">
        <v>784</v>
      </c>
      <c r="I116" s="9" t="s">
        <v>25</v>
      </c>
      <c r="J116" s="9" t="s">
        <v>26</v>
      </c>
      <c r="K116" s="9" t="s">
        <v>26</v>
      </c>
      <c r="L116" s="7" t="s">
        <v>26</v>
      </c>
      <c r="M116" s="7" t="s">
        <v>26</v>
      </c>
      <c r="N116" s="7" t="s">
        <v>27</v>
      </c>
      <c r="O116" s="10">
        <v>14.0</v>
      </c>
      <c r="P116" s="7" t="s">
        <v>790</v>
      </c>
    </row>
    <row r="117" ht="22.5" customHeight="1">
      <c r="A117" s="7" t="s">
        <v>791</v>
      </c>
      <c r="B117" s="8" t="s">
        <v>792</v>
      </c>
      <c r="C117" s="9" t="s">
        <v>761</v>
      </c>
      <c r="D117" s="9" t="s">
        <v>183</v>
      </c>
      <c r="E117" s="7" t="s">
        <v>762</v>
      </c>
      <c r="F117" s="7" t="s">
        <v>793</v>
      </c>
      <c r="G117" s="8" t="s">
        <v>794</v>
      </c>
      <c r="H117" s="7" t="s">
        <v>795</v>
      </c>
      <c r="I117" s="9" t="s">
        <v>25</v>
      </c>
      <c r="J117" s="9" t="s">
        <v>26</v>
      </c>
      <c r="K117" s="9" t="s">
        <v>26</v>
      </c>
      <c r="L117" s="7" t="s">
        <v>26</v>
      </c>
      <c r="M117" s="7" t="s">
        <v>26</v>
      </c>
      <c r="N117" s="7" t="s">
        <v>27</v>
      </c>
      <c r="O117" s="10">
        <v>14.0</v>
      </c>
      <c r="P117" s="7" t="s">
        <v>796</v>
      </c>
    </row>
    <row r="118" ht="22.5" customHeight="1">
      <c r="A118" s="7" t="s">
        <v>797</v>
      </c>
      <c r="B118" s="8" t="s">
        <v>798</v>
      </c>
      <c r="C118" s="9" t="s">
        <v>761</v>
      </c>
      <c r="D118" s="9" t="s">
        <v>183</v>
      </c>
      <c r="E118" s="7" t="s">
        <v>762</v>
      </c>
      <c r="F118" s="7" t="s">
        <v>799</v>
      </c>
      <c r="G118" s="8" t="s">
        <v>800</v>
      </c>
      <c r="H118" s="7" t="s">
        <v>801</v>
      </c>
      <c r="I118" s="9" t="s">
        <v>25</v>
      </c>
      <c r="J118" s="9" t="s">
        <v>26</v>
      </c>
      <c r="K118" s="9" t="s">
        <v>26</v>
      </c>
      <c r="L118" s="7" t="s">
        <v>26</v>
      </c>
      <c r="M118" s="7" t="s">
        <v>26</v>
      </c>
      <c r="N118" s="7" t="s">
        <v>27</v>
      </c>
      <c r="O118" s="10">
        <v>14.0</v>
      </c>
      <c r="P118" s="7" t="s">
        <v>802</v>
      </c>
    </row>
    <row r="119" ht="22.5" customHeight="1">
      <c r="A119" s="7" t="s">
        <v>803</v>
      </c>
      <c r="B119" s="8" t="s">
        <v>804</v>
      </c>
      <c r="C119" s="9" t="s">
        <v>761</v>
      </c>
      <c r="D119" s="9" t="s">
        <v>183</v>
      </c>
      <c r="E119" s="7" t="s">
        <v>762</v>
      </c>
      <c r="F119" s="7" t="s">
        <v>805</v>
      </c>
      <c r="G119" s="8" t="s">
        <v>806</v>
      </c>
      <c r="H119" s="7" t="s">
        <v>807</v>
      </c>
      <c r="I119" s="9" t="s">
        <v>25</v>
      </c>
      <c r="J119" s="9" t="s">
        <v>26</v>
      </c>
      <c r="K119" s="9" t="s">
        <v>26</v>
      </c>
      <c r="L119" s="7" t="s">
        <v>26</v>
      </c>
      <c r="M119" s="7" t="s">
        <v>26</v>
      </c>
      <c r="N119" s="7" t="s">
        <v>27</v>
      </c>
      <c r="O119" s="10">
        <v>14.0</v>
      </c>
      <c r="P119" s="7" t="s">
        <v>808</v>
      </c>
    </row>
    <row r="120" ht="22.5" customHeight="1">
      <c r="A120" s="7" t="s">
        <v>809</v>
      </c>
      <c r="B120" s="8" t="s">
        <v>810</v>
      </c>
      <c r="C120" s="9" t="s">
        <v>761</v>
      </c>
      <c r="D120" s="9" t="s">
        <v>183</v>
      </c>
      <c r="E120" s="7" t="s">
        <v>811</v>
      </c>
      <c r="F120" s="7" t="s">
        <v>812</v>
      </c>
      <c r="G120" s="8" t="s">
        <v>813</v>
      </c>
      <c r="H120" s="7" t="s">
        <v>814</v>
      </c>
      <c r="I120" s="9" t="s">
        <v>25</v>
      </c>
      <c r="J120" s="9" t="s">
        <v>26</v>
      </c>
      <c r="K120" s="9" t="s">
        <v>26</v>
      </c>
      <c r="L120" s="7" t="s">
        <v>26</v>
      </c>
      <c r="M120" s="7" t="s">
        <v>26</v>
      </c>
      <c r="N120" s="7" t="s">
        <v>27</v>
      </c>
      <c r="O120" s="10">
        <v>15.0</v>
      </c>
      <c r="P120" s="7" t="s">
        <v>815</v>
      </c>
    </row>
    <row r="121" ht="22.5" customHeight="1">
      <c r="A121" s="7" t="s">
        <v>816</v>
      </c>
      <c r="B121" s="8" t="s">
        <v>817</v>
      </c>
      <c r="C121" s="9" t="s">
        <v>761</v>
      </c>
      <c r="D121" s="9" t="s">
        <v>183</v>
      </c>
      <c r="E121" s="7" t="s">
        <v>811</v>
      </c>
      <c r="F121" s="7" t="s">
        <v>818</v>
      </c>
      <c r="G121" s="8" t="s">
        <v>819</v>
      </c>
      <c r="H121" s="7" t="s">
        <v>814</v>
      </c>
      <c r="I121" s="9" t="s">
        <v>25</v>
      </c>
      <c r="J121" s="9" t="s">
        <v>26</v>
      </c>
      <c r="K121" s="9" t="s">
        <v>26</v>
      </c>
      <c r="L121" s="7" t="s">
        <v>820</v>
      </c>
      <c r="M121" s="7" t="s">
        <v>26</v>
      </c>
      <c r="N121" s="7" t="s">
        <v>27</v>
      </c>
      <c r="O121" s="10">
        <v>15.0</v>
      </c>
      <c r="P121" s="7" t="s">
        <v>821</v>
      </c>
    </row>
    <row r="122" ht="22.5" customHeight="1">
      <c r="A122" s="7" t="s">
        <v>822</v>
      </c>
      <c r="B122" s="8" t="s">
        <v>823</v>
      </c>
      <c r="C122" s="9" t="s">
        <v>761</v>
      </c>
      <c r="D122" s="9" t="s">
        <v>183</v>
      </c>
      <c r="E122" s="7" t="s">
        <v>811</v>
      </c>
      <c r="F122" s="7" t="s">
        <v>824</v>
      </c>
      <c r="G122" s="8" t="s">
        <v>825</v>
      </c>
      <c r="H122" s="7" t="s">
        <v>826</v>
      </c>
      <c r="I122" s="9" t="s">
        <v>25</v>
      </c>
      <c r="J122" s="9" t="s">
        <v>26</v>
      </c>
      <c r="K122" s="9" t="s">
        <v>26</v>
      </c>
      <c r="L122" s="7" t="s">
        <v>26</v>
      </c>
      <c r="M122" s="7" t="s">
        <v>26</v>
      </c>
      <c r="N122" s="7" t="s">
        <v>27</v>
      </c>
      <c r="O122" s="10">
        <v>15.0</v>
      </c>
      <c r="P122" s="7" t="s">
        <v>827</v>
      </c>
    </row>
    <row r="123" ht="22.5" customHeight="1">
      <c r="A123" s="7" t="s">
        <v>828</v>
      </c>
      <c r="B123" s="8" t="s">
        <v>829</v>
      </c>
      <c r="C123" s="9" t="s">
        <v>761</v>
      </c>
      <c r="D123" s="9" t="s">
        <v>183</v>
      </c>
      <c r="E123" s="7" t="s">
        <v>811</v>
      </c>
      <c r="F123" s="7" t="s">
        <v>830</v>
      </c>
      <c r="G123" s="8" t="s">
        <v>831</v>
      </c>
      <c r="H123" s="7" t="s">
        <v>826</v>
      </c>
      <c r="I123" s="9" t="s">
        <v>25</v>
      </c>
      <c r="J123" s="9" t="s">
        <v>26</v>
      </c>
      <c r="K123" s="9" t="s">
        <v>26</v>
      </c>
      <c r="L123" s="7" t="s">
        <v>26</v>
      </c>
      <c r="M123" s="7" t="s">
        <v>26</v>
      </c>
      <c r="N123" s="7" t="s">
        <v>27</v>
      </c>
      <c r="O123" s="10">
        <v>15.0</v>
      </c>
      <c r="P123" s="7" t="s">
        <v>832</v>
      </c>
    </row>
    <row r="124" ht="22.5" customHeight="1">
      <c r="A124" s="7" t="s">
        <v>833</v>
      </c>
      <c r="B124" s="8" t="s">
        <v>834</v>
      </c>
      <c r="C124" s="9" t="s">
        <v>761</v>
      </c>
      <c r="D124" s="9" t="s">
        <v>183</v>
      </c>
      <c r="E124" s="7" t="s">
        <v>811</v>
      </c>
      <c r="F124" s="7" t="s">
        <v>835</v>
      </c>
      <c r="G124" s="8" t="s">
        <v>836</v>
      </c>
      <c r="H124" s="7" t="s">
        <v>837</v>
      </c>
      <c r="I124" s="9" t="s">
        <v>25</v>
      </c>
      <c r="J124" s="9" t="s">
        <v>26</v>
      </c>
      <c r="K124" s="9" t="s">
        <v>26</v>
      </c>
      <c r="L124" s="7" t="s">
        <v>26</v>
      </c>
      <c r="M124" s="7" t="s">
        <v>26</v>
      </c>
      <c r="N124" s="7" t="s">
        <v>27</v>
      </c>
      <c r="O124" s="10">
        <v>15.0</v>
      </c>
      <c r="P124" s="7" t="s">
        <v>838</v>
      </c>
    </row>
    <row r="125" ht="22.5" customHeight="1">
      <c r="A125" s="7" t="s">
        <v>839</v>
      </c>
      <c r="B125" s="8" t="s">
        <v>840</v>
      </c>
      <c r="C125" s="9" t="s">
        <v>761</v>
      </c>
      <c r="D125" s="9" t="s">
        <v>183</v>
      </c>
      <c r="E125" s="7" t="s">
        <v>811</v>
      </c>
      <c r="F125" s="7" t="s">
        <v>841</v>
      </c>
      <c r="G125" s="8" t="s">
        <v>842</v>
      </c>
      <c r="H125" s="7" t="s">
        <v>843</v>
      </c>
      <c r="I125" s="9" t="s">
        <v>25</v>
      </c>
      <c r="J125" s="9" t="s">
        <v>26</v>
      </c>
      <c r="K125" s="9" t="s">
        <v>26</v>
      </c>
      <c r="L125" s="7" t="s">
        <v>26</v>
      </c>
      <c r="M125" s="7" t="s">
        <v>26</v>
      </c>
      <c r="N125" s="7" t="s">
        <v>27</v>
      </c>
      <c r="O125" s="10">
        <v>15.0</v>
      </c>
      <c r="P125" s="7" t="s">
        <v>844</v>
      </c>
    </row>
    <row r="126" ht="22.5" customHeight="1">
      <c r="A126" s="7" t="s">
        <v>845</v>
      </c>
      <c r="B126" s="8" t="s">
        <v>846</v>
      </c>
      <c r="C126" s="9" t="s">
        <v>761</v>
      </c>
      <c r="D126" s="9" t="s">
        <v>31</v>
      </c>
      <c r="E126" s="7" t="s">
        <v>311</v>
      </c>
      <c r="F126" s="7" t="s">
        <v>847</v>
      </c>
      <c r="G126" s="8" t="s">
        <v>848</v>
      </c>
      <c r="H126" s="7" t="s">
        <v>849</v>
      </c>
      <c r="I126" s="9" t="s">
        <v>51</v>
      </c>
      <c r="J126" s="9" t="s">
        <v>26</v>
      </c>
      <c r="K126" s="9" t="s">
        <v>26</v>
      </c>
      <c r="L126" s="7" t="s">
        <v>26</v>
      </c>
      <c r="M126" s="7" t="s">
        <v>26</v>
      </c>
      <c r="N126" s="7" t="s">
        <v>27</v>
      </c>
      <c r="O126" s="10">
        <v>15.0</v>
      </c>
      <c r="P126" s="7" t="s">
        <v>850</v>
      </c>
    </row>
    <row r="127" ht="22.5" customHeight="1">
      <c r="A127" s="7" t="s">
        <v>851</v>
      </c>
      <c r="B127" s="8" t="s">
        <v>852</v>
      </c>
      <c r="C127" s="9" t="s">
        <v>853</v>
      </c>
      <c r="D127" s="9" t="s">
        <v>213</v>
      </c>
      <c r="E127" s="7" t="s">
        <v>854</v>
      </c>
      <c r="F127" s="7" t="s">
        <v>855</v>
      </c>
      <c r="G127" s="8" t="s">
        <v>856</v>
      </c>
      <c r="H127" s="7" t="s">
        <v>857</v>
      </c>
      <c r="I127" s="9" t="s">
        <v>25</v>
      </c>
      <c r="J127" s="9" t="s">
        <v>26</v>
      </c>
      <c r="K127" s="9" t="s">
        <v>26</v>
      </c>
      <c r="L127" s="7" t="s">
        <v>26</v>
      </c>
      <c r="M127" s="7" t="s">
        <v>26</v>
      </c>
      <c r="N127" s="7" t="s">
        <v>27</v>
      </c>
      <c r="O127" s="10">
        <v>16.0</v>
      </c>
      <c r="P127" s="7" t="s">
        <v>858</v>
      </c>
    </row>
    <row r="128" ht="22.5" customHeight="1">
      <c r="A128" s="7" t="s">
        <v>859</v>
      </c>
      <c r="B128" s="8" t="s">
        <v>860</v>
      </c>
      <c r="C128" s="9" t="s">
        <v>853</v>
      </c>
      <c r="D128" s="9" t="s">
        <v>213</v>
      </c>
      <c r="E128" s="7" t="s">
        <v>861</v>
      </c>
      <c r="F128" s="7" t="s">
        <v>862</v>
      </c>
      <c r="G128" s="8" t="s">
        <v>863</v>
      </c>
      <c r="H128" s="7" t="s">
        <v>864</v>
      </c>
      <c r="I128" s="9" t="s">
        <v>25</v>
      </c>
      <c r="J128" s="9" t="s">
        <v>26</v>
      </c>
      <c r="K128" s="9" t="s">
        <v>26</v>
      </c>
      <c r="L128" s="7" t="s">
        <v>26</v>
      </c>
      <c r="M128" s="7" t="s">
        <v>26</v>
      </c>
      <c r="N128" s="7" t="s">
        <v>27</v>
      </c>
      <c r="O128" s="10">
        <v>16.0</v>
      </c>
      <c r="P128" s="7" t="s">
        <v>865</v>
      </c>
    </row>
    <row r="129" ht="22.5" customHeight="1">
      <c r="A129" s="7" t="s">
        <v>866</v>
      </c>
      <c r="B129" s="8" t="s">
        <v>867</v>
      </c>
      <c r="C129" s="9" t="s">
        <v>853</v>
      </c>
      <c r="D129" s="9" t="s">
        <v>213</v>
      </c>
      <c r="E129" s="7" t="s">
        <v>868</v>
      </c>
      <c r="F129" s="7" t="s">
        <v>869</v>
      </c>
      <c r="G129" s="8" t="s">
        <v>870</v>
      </c>
      <c r="H129" s="7" t="s">
        <v>871</v>
      </c>
      <c r="I129" s="9" t="s">
        <v>25</v>
      </c>
      <c r="J129" s="9" t="s">
        <v>26</v>
      </c>
      <c r="K129" s="9" t="s">
        <v>26</v>
      </c>
      <c r="L129" s="7" t="s">
        <v>26</v>
      </c>
      <c r="M129" s="7" t="s">
        <v>26</v>
      </c>
      <c r="N129" s="7" t="s">
        <v>27</v>
      </c>
      <c r="O129" s="10">
        <v>16.0</v>
      </c>
      <c r="P129" s="7" t="s">
        <v>872</v>
      </c>
    </row>
    <row r="130" ht="22.5" customHeight="1">
      <c r="A130" s="7" t="s">
        <v>873</v>
      </c>
      <c r="B130" s="8" t="s">
        <v>874</v>
      </c>
      <c r="C130" s="9" t="s">
        <v>853</v>
      </c>
      <c r="D130" s="9" t="s">
        <v>213</v>
      </c>
      <c r="E130" s="7" t="s">
        <v>875</v>
      </c>
      <c r="F130" s="7" t="s">
        <v>876</v>
      </c>
      <c r="G130" s="8" t="s">
        <v>877</v>
      </c>
      <c r="H130" s="7" t="s">
        <v>878</v>
      </c>
      <c r="I130" s="9" t="s">
        <v>25</v>
      </c>
      <c r="J130" s="9" t="s">
        <v>26</v>
      </c>
      <c r="K130" s="9" t="s">
        <v>26</v>
      </c>
      <c r="L130" s="7" t="s">
        <v>26</v>
      </c>
      <c r="M130" s="7" t="s">
        <v>26</v>
      </c>
      <c r="N130" s="7" t="s">
        <v>27</v>
      </c>
      <c r="O130" s="10">
        <v>16.0</v>
      </c>
      <c r="P130" s="7" t="s">
        <v>879</v>
      </c>
    </row>
    <row r="131" ht="22.5" customHeight="1">
      <c r="A131" s="7" t="s">
        <v>880</v>
      </c>
      <c r="B131" s="8" t="s">
        <v>881</v>
      </c>
      <c r="C131" s="9" t="s">
        <v>853</v>
      </c>
      <c r="D131" s="9" t="s">
        <v>213</v>
      </c>
      <c r="E131" s="7" t="s">
        <v>882</v>
      </c>
      <c r="F131" s="7" t="s">
        <v>883</v>
      </c>
      <c r="G131" s="8" t="s">
        <v>884</v>
      </c>
      <c r="H131" s="7" t="s">
        <v>885</v>
      </c>
      <c r="I131" s="9" t="s">
        <v>25</v>
      </c>
      <c r="J131" s="9" t="s">
        <v>26</v>
      </c>
      <c r="K131" s="9" t="s">
        <v>26</v>
      </c>
      <c r="L131" s="7" t="s">
        <v>26</v>
      </c>
      <c r="M131" s="7" t="s">
        <v>26</v>
      </c>
      <c r="N131" s="7" t="s">
        <v>27</v>
      </c>
      <c r="O131" s="10">
        <v>16.0</v>
      </c>
      <c r="P131" s="7" t="s">
        <v>886</v>
      </c>
    </row>
    <row r="132" ht="22.5" customHeight="1">
      <c r="A132" s="7" t="s">
        <v>887</v>
      </c>
      <c r="B132" s="8" t="s">
        <v>888</v>
      </c>
      <c r="C132" s="9" t="s">
        <v>853</v>
      </c>
      <c r="D132" s="9" t="s">
        <v>191</v>
      </c>
      <c r="E132" s="7" t="s">
        <v>889</v>
      </c>
      <c r="F132" s="7" t="s">
        <v>890</v>
      </c>
      <c r="G132" s="8" t="s">
        <v>891</v>
      </c>
      <c r="H132" s="7" t="s">
        <v>892</v>
      </c>
      <c r="I132" s="9" t="s">
        <v>25</v>
      </c>
      <c r="J132" s="9" t="s">
        <v>26</v>
      </c>
      <c r="K132" s="9" t="s">
        <v>26</v>
      </c>
      <c r="L132" s="7" t="s">
        <v>26</v>
      </c>
      <c r="M132" s="7" t="s">
        <v>26</v>
      </c>
      <c r="N132" s="7" t="s">
        <v>27</v>
      </c>
      <c r="O132" s="10">
        <v>16.0</v>
      </c>
      <c r="P132" s="7" t="s">
        <v>893</v>
      </c>
    </row>
    <row r="133" ht="22.5" customHeight="1">
      <c r="A133" s="7" t="s">
        <v>894</v>
      </c>
      <c r="B133" s="8" t="s">
        <v>895</v>
      </c>
      <c r="C133" s="9" t="s">
        <v>853</v>
      </c>
      <c r="D133" s="9" t="s">
        <v>191</v>
      </c>
      <c r="E133" s="7" t="s">
        <v>896</v>
      </c>
      <c r="F133" s="7" t="s">
        <v>897</v>
      </c>
      <c r="G133" s="8" t="s">
        <v>898</v>
      </c>
      <c r="H133" s="7" t="s">
        <v>899</v>
      </c>
      <c r="I133" s="9" t="s">
        <v>25</v>
      </c>
      <c r="J133" s="9" t="s">
        <v>26</v>
      </c>
      <c r="K133" s="9" t="s">
        <v>26</v>
      </c>
      <c r="L133" s="7" t="s">
        <v>26</v>
      </c>
      <c r="M133" s="7" t="s">
        <v>26</v>
      </c>
      <c r="N133" s="7" t="s">
        <v>27</v>
      </c>
      <c r="O133" s="10">
        <v>16.0</v>
      </c>
      <c r="P133" s="7" t="s">
        <v>900</v>
      </c>
    </row>
    <row r="134" ht="22.5" customHeight="1">
      <c r="A134" s="7" t="s">
        <v>901</v>
      </c>
      <c r="B134" s="8" t="s">
        <v>902</v>
      </c>
      <c r="C134" s="9" t="s">
        <v>853</v>
      </c>
      <c r="D134" s="9" t="s">
        <v>191</v>
      </c>
      <c r="E134" s="7" t="s">
        <v>903</v>
      </c>
      <c r="F134" s="7" t="s">
        <v>904</v>
      </c>
      <c r="G134" s="8" t="s">
        <v>905</v>
      </c>
      <c r="H134" s="7" t="s">
        <v>906</v>
      </c>
      <c r="I134" s="9" t="s">
        <v>25</v>
      </c>
      <c r="J134" s="9" t="s">
        <v>26</v>
      </c>
      <c r="K134" s="9" t="s">
        <v>26</v>
      </c>
      <c r="L134" s="7" t="s">
        <v>26</v>
      </c>
      <c r="M134" s="7" t="s">
        <v>26</v>
      </c>
      <c r="N134" s="7" t="s">
        <v>27</v>
      </c>
      <c r="O134" s="10">
        <v>17.0</v>
      </c>
      <c r="P134" s="7" t="s">
        <v>907</v>
      </c>
    </row>
    <row r="135" ht="22.5" customHeight="1">
      <c r="A135" s="7" t="s">
        <v>908</v>
      </c>
      <c r="B135" s="8" t="s">
        <v>909</v>
      </c>
      <c r="C135" s="9" t="s">
        <v>853</v>
      </c>
      <c r="D135" s="9" t="s">
        <v>191</v>
      </c>
      <c r="E135" s="7" t="s">
        <v>910</v>
      </c>
      <c r="F135" s="7" t="s">
        <v>911</v>
      </c>
      <c r="G135" s="8" t="s">
        <v>912</v>
      </c>
      <c r="H135" s="7" t="s">
        <v>913</v>
      </c>
      <c r="I135" s="9" t="s">
        <v>25</v>
      </c>
      <c r="J135" s="9" t="s">
        <v>26</v>
      </c>
      <c r="K135" s="9" t="s">
        <v>26</v>
      </c>
      <c r="L135" s="7" t="s">
        <v>26</v>
      </c>
      <c r="M135" s="7" t="s">
        <v>26</v>
      </c>
      <c r="N135" s="7" t="s">
        <v>27</v>
      </c>
      <c r="O135" s="10">
        <v>17.0</v>
      </c>
      <c r="P135" s="7" t="s">
        <v>914</v>
      </c>
    </row>
    <row r="136" ht="22.5" customHeight="1">
      <c r="A136" s="7" t="s">
        <v>915</v>
      </c>
      <c r="B136" s="8" t="s">
        <v>916</v>
      </c>
      <c r="C136" s="9" t="s">
        <v>853</v>
      </c>
      <c r="D136" s="9" t="s">
        <v>191</v>
      </c>
      <c r="E136" s="7" t="s">
        <v>917</v>
      </c>
      <c r="F136" s="7" t="s">
        <v>918</v>
      </c>
      <c r="G136" s="8" t="s">
        <v>919</v>
      </c>
      <c r="H136" s="7" t="s">
        <v>920</v>
      </c>
      <c r="I136" s="9" t="s">
        <v>25</v>
      </c>
      <c r="J136" s="9" t="s">
        <v>26</v>
      </c>
      <c r="K136" s="9" t="s">
        <v>26</v>
      </c>
      <c r="L136" s="7" t="s">
        <v>26</v>
      </c>
      <c r="M136" s="7" t="s">
        <v>26</v>
      </c>
      <c r="N136" s="7" t="s">
        <v>27</v>
      </c>
      <c r="O136" s="10">
        <v>17.0</v>
      </c>
      <c r="P136" s="7" t="s">
        <v>921</v>
      </c>
    </row>
    <row r="137" ht="22.5" customHeight="1">
      <c r="A137" s="7" t="s">
        <v>922</v>
      </c>
      <c r="B137" s="8" t="s">
        <v>923</v>
      </c>
      <c r="C137" s="9" t="s">
        <v>853</v>
      </c>
      <c r="D137" s="9" t="s">
        <v>191</v>
      </c>
      <c r="E137" s="7" t="s">
        <v>924</v>
      </c>
      <c r="F137" s="7" t="s">
        <v>925</v>
      </c>
      <c r="G137" s="8" t="s">
        <v>926</v>
      </c>
      <c r="H137" s="7" t="s">
        <v>927</v>
      </c>
      <c r="I137" s="9" t="s">
        <v>25</v>
      </c>
      <c r="J137" s="9" t="s">
        <v>26</v>
      </c>
      <c r="K137" s="9" t="s">
        <v>26</v>
      </c>
      <c r="L137" s="7" t="s">
        <v>26</v>
      </c>
      <c r="M137" s="7" t="s">
        <v>26</v>
      </c>
      <c r="N137" s="7" t="s">
        <v>27</v>
      </c>
      <c r="O137" s="10">
        <v>17.0</v>
      </c>
      <c r="P137" s="7" t="s">
        <v>928</v>
      </c>
    </row>
    <row r="138" ht="22.5" customHeight="1">
      <c r="A138" s="7" t="s">
        <v>929</v>
      </c>
      <c r="B138" s="8" t="s">
        <v>930</v>
      </c>
      <c r="C138" s="9" t="s">
        <v>853</v>
      </c>
      <c r="D138" s="9" t="s">
        <v>191</v>
      </c>
      <c r="E138" s="7" t="s">
        <v>931</v>
      </c>
      <c r="F138" s="7" t="s">
        <v>932</v>
      </c>
      <c r="G138" s="8" t="s">
        <v>933</v>
      </c>
      <c r="H138" s="7" t="s">
        <v>934</v>
      </c>
      <c r="I138" s="9" t="s">
        <v>51</v>
      </c>
      <c r="J138" s="9" t="s">
        <v>26</v>
      </c>
      <c r="K138" s="9" t="s">
        <v>26</v>
      </c>
      <c r="L138" s="7" t="s">
        <v>26</v>
      </c>
      <c r="M138" s="7" t="s">
        <v>26</v>
      </c>
      <c r="N138" s="7" t="s">
        <v>27</v>
      </c>
      <c r="O138" s="10">
        <v>17.0</v>
      </c>
      <c r="P138" s="7" t="s">
        <v>935</v>
      </c>
    </row>
    <row r="139" ht="22.5" customHeight="1">
      <c r="A139" s="7" t="s">
        <v>936</v>
      </c>
      <c r="B139" s="8" t="s">
        <v>937</v>
      </c>
      <c r="C139" s="9" t="s">
        <v>853</v>
      </c>
      <c r="D139" s="9" t="s">
        <v>252</v>
      </c>
      <c r="E139" s="7" t="s">
        <v>938</v>
      </c>
      <c r="F139" s="7" t="s">
        <v>939</v>
      </c>
      <c r="G139" s="8" t="s">
        <v>940</v>
      </c>
      <c r="H139" s="7" t="s">
        <v>941</v>
      </c>
      <c r="I139" s="9" t="s">
        <v>25</v>
      </c>
      <c r="J139" s="9" t="s">
        <v>26</v>
      </c>
      <c r="K139" s="9" t="s">
        <v>26</v>
      </c>
      <c r="L139" s="7" t="s">
        <v>26</v>
      </c>
      <c r="M139" s="7" t="s">
        <v>26</v>
      </c>
      <c r="N139" s="7" t="s">
        <v>27</v>
      </c>
      <c r="O139" s="10">
        <v>17.0</v>
      </c>
      <c r="P139" s="7" t="s">
        <v>942</v>
      </c>
    </row>
    <row r="140" ht="22.5" customHeight="1">
      <c r="A140" s="7" t="s">
        <v>943</v>
      </c>
      <c r="B140" s="8" t="s">
        <v>944</v>
      </c>
      <c r="C140" s="9" t="s">
        <v>853</v>
      </c>
      <c r="D140" s="9" t="s">
        <v>191</v>
      </c>
      <c r="E140" s="7" t="s">
        <v>945</v>
      </c>
      <c r="F140" s="7" t="s">
        <v>946</v>
      </c>
      <c r="G140" s="8" t="s">
        <v>947</v>
      </c>
      <c r="H140" s="7" t="s">
        <v>948</v>
      </c>
      <c r="I140" s="9" t="s">
        <v>25</v>
      </c>
      <c r="J140" s="9" t="s">
        <v>26</v>
      </c>
      <c r="K140" s="9" t="s">
        <v>26</v>
      </c>
      <c r="L140" s="7" t="s">
        <v>26</v>
      </c>
      <c r="M140" s="7" t="s">
        <v>26</v>
      </c>
      <c r="N140" s="7" t="s">
        <v>27</v>
      </c>
      <c r="O140" s="10">
        <v>17.0</v>
      </c>
      <c r="P140" s="7" t="s">
        <v>949</v>
      </c>
    </row>
    <row r="141" ht="22.5" customHeight="1">
      <c r="A141" s="7" t="s">
        <v>950</v>
      </c>
      <c r="B141" s="8" t="s">
        <v>951</v>
      </c>
      <c r="C141" s="9" t="s">
        <v>853</v>
      </c>
      <c r="D141" s="9" t="s">
        <v>252</v>
      </c>
      <c r="E141" s="7" t="s">
        <v>952</v>
      </c>
      <c r="F141" s="7" t="s">
        <v>953</v>
      </c>
      <c r="G141" s="8" t="s">
        <v>954</v>
      </c>
      <c r="H141" s="7" t="s">
        <v>955</v>
      </c>
      <c r="I141" s="9" t="s">
        <v>25</v>
      </c>
      <c r="J141" s="9" t="s">
        <v>26</v>
      </c>
      <c r="K141" s="9" t="s">
        <v>26</v>
      </c>
      <c r="L141" s="7" t="s">
        <v>26</v>
      </c>
      <c r="M141" s="7" t="s">
        <v>26</v>
      </c>
      <c r="N141" s="7" t="s">
        <v>27</v>
      </c>
      <c r="O141" s="10">
        <v>17.0</v>
      </c>
      <c r="P141" s="7" t="s">
        <v>956</v>
      </c>
    </row>
    <row r="142" ht="22.5" customHeight="1">
      <c r="A142" s="7" t="s">
        <v>957</v>
      </c>
      <c r="B142" s="8" t="s">
        <v>958</v>
      </c>
      <c r="C142" s="9" t="s">
        <v>853</v>
      </c>
      <c r="D142" s="9" t="s">
        <v>252</v>
      </c>
      <c r="E142" s="7" t="s">
        <v>959</v>
      </c>
      <c r="F142" s="7" t="s">
        <v>960</v>
      </c>
      <c r="G142" s="8" t="s">
        <v>961</v>
      </c>
      <c r="H142" s="7" t="s">
        <v>962</v>
      </c>
      <c r="I142" s="9" t="s">
        <v>25</v>
      </c>
      <c r="J142" s="9" t="s">
        <v>26</v>
      </c>
      <c r="K142" s="9" t="s">
        <v>26</v>
      </c>
      <c r="L142" s="7" t="s">
        <v>26</v>
      </c>
      <c r="M142" s="7" t="s">
        <v>26</v>
      </c>
      <c r="N142" s="7" t="s">
        <v>27</v>
      </c>
      <c r="O142" s="10">
        <v>18.0</v>
      </c>
      <c r="P142" s="7" t="s">
        <v>963</v>
      </c>
    </row>
    <row r="143" ht="22.5" customHeight="1">
      <c r="A143" s="7" t="s">
        <v>964</v>
      </c>
      <c r="B143" s="8" t="s">
        <v>965</v>
      </c>
      <c r="C143" s="9" t="s">
        <v>853</v>
      </c>
      <c r="D143" s="9" t="s">
        <v>252</v>
      </c>
      <c r="E143" s="7" t="s">
        <v>966</v>
      </c>
      <c r="F143" s="7" t="s">
        <v>967</v>
      </c>
      <c r="G143" s="8" t="s">
        <v>968</v>
      </c>
      <c r="H143" s="7" t="s">
        <v>969</v>
      </c>
      <c r="I143" s="9" t="s">
        <v>25</v>
      </c>
      <c r="J143" s="9" t="s">
        <v>26</v>
      </c>
      <c r="K143" s="9" t="s">
        <v>26</v>
      </c>
      <c r="L143" s="7" t="s">
        <v>26</v>
      </c>
      <c r="M143" s="7" t="s">
        <v>26</v>
      </c>
      <c r="N143" s="7" t="s">
        <v>27</v>
      </c>
      <c r="O143" s="10">
        <v>18.0</v>
      </c>
      <c r="P143" s="7" t="s">
        <v>970</v>
      </c>
    </row>
    <row r="144" ht="22.5" customHeight="1">
      <c r="A144" s="7" t="s">
        <v>971</v>
      </c>
      <c r="B144" s="8" t="s">
        <v>972</v>
      </c>
      <c r="C144" s="9" t="s">
        <v>853</v>
      </c>
      <c r="D144" s="9" t="s">
        <v>183</v>
      </c>
      <c r="E144" s="7" t="s">
        <v>973</v>
      </c>
      <c r="F144" s="7" t="s">
        <v>974</v>
      </c>
      <c r="G144" s="8" t="s">
        <v>975</v>
      </c>
      <c r="H144" s="7" t="s">
        <v>976</v>
      </c>
      <c r="I144" s="9" t="s">
        <v>25</v>
      </c>
      <c r="J144" s="9" t="s">
        <v>26</v>
      </c>
      <c r="K144" s="9" t="s">
        <v>26</v>
      </c>
      <c r="L144" s="7" t="s">
        <v>26</v>
      </c>
      <c r="M144" s="7" t="s">
        <v>26</v>
      </c>
      <c r="N144" s="7" t="s">
        <v>27</v>
      </c>
      <c r="O144" s="10">
        <v>18.0</v>
      </c>
      <c r="P144" s="7" t="s">
        <v>977</v>
      </c>
    </row>
    <row r="145" ht="22.5" customHeight="1">
      <c r="A145" s="7" t="s">
        <v>978</v>
      </c>
      <c r="B145" s="8" t="s">
        <v>979</v>
      </c>
      <c r="C145" s="9" t="s">
        <v>853</v>
      </c>
      <c r="D145" s="9" t="s">
        <v>191</v>
      </c>
      <c r="E145" s="7" t="s">
        <v>980</v>
      </c>
      <c r="F145" s="7" t="s">
        <v>981</v>
      </c>
      <c r="G145" s="8" t="s">
        <v>982</v>
      </c>
      <c r="H145" s="7" t="s">
        <v>983</v>
      </c>
      <c r="I145" s="9" t="s">
        <v>25</v>
      </c>
      <c r="J145" s="9" t="s">
        <v>26</v>
      </c>
      <c r="K145" s="9" t="s">
        <v>26</v>
      </c>
      <c r="L145" s="7" t="s">
        <v>26</v>
      </c>
      <c r="M145" s="7" t="s">
        <v>26</v>
      </c>
      <c r="N145" s="7" t="s">
        <v>27</v>
      </c>
      <c r="O145" s="10">
        <v>18.0</v>
      </c>
      <c r="P145" s="7" t="s">
        <v>984</v>
      </c>
    </row>
    <row r="146" ht="22.5" customHeight="1">
      <c r="A146" s="7" t="s">
        <v>985</v>
      </c>
      <c r="B146" s="8" t="s">
        <v>986</v>
      </c>
      <c r="C146" s="9" t="s">
        <v>853</v>
      </c>
      <c r="D146" s="9" t="s">
        <v>252</v>
      </c>
      <c r="E146" s="7" t="s">
        <v>987</v>
      </c>
      <c r="F146" s="7" t="s">
        <v>988</v>
      </c>
      <c r="G146" s="8" t="s">
        <v>989</v>
      </c>
      <c r="H146" s="7" t="s">
        <v>990</v>
      </c>
      <c r="I146" s="9" t="s">
        <v>51</v>
      </c>
      <c r="J146" s="9" t="s">
        <v>26</v>
      </c>
      <c r="K146" s="9" t="s">
        <v>26</v>
      </c>
      <c r="L146" s="7" t="s">
        <v>26</v>
      </c>
      <c r="M146" s="7" t="s">
        <v>26</v>
      </c>
      <c r="N146" s="7" t="s">
        <v>27</v>
      </c>
      <c r="O146" s="10">
        <v>18.0</v>
      </c>
      <c r="P146" s="7" t="s">
        <v>991</v>
      </c>
    </row>
    <row r="147" ht="22.5" customHeight="1">
      <c r="A147" s="7" t="s">
        <v>992</v>
      </c>
      <c r="B147" s="8" t="s">
        <v>993</v>
      </c>
      <c r="C147" s="9" t="s">
        <v>853</v>
      </c>
      <c r="D147" s="9" t="s">
        <v>994</v>
      </c>
      <c r="E147" s="7" t="s">
        <v>995</v>
      </c>
      <c r="F147" s="7" t="s">
        <v>996</v>
      </c>
      <c r="G147" s="8" t="s">
        <v>997</v>
      </c>
      <c r="H147" s="7" t="s">
        <v>998</v>
      </c>
      <c r="I147" s="9" t="s">
        <v>25</v>
      </c>
      <c r="J147" s="9" t="s">
        <v>26</v>
      </c>
      <c r="K147" s="9" t="s">
        <v>26</v>
      </c>
      <c r="L147" s="7" t="s">
        <v>26</v>
      </c>
      <c r="M147" s="7" t="s">
        <v>26</v>
      </c>
      <c r="N147" s="7" t="s">
        <v>27</v>
      </c>
      <c r="O147" s="10">
        <v>18.0</v>
      </c>
      <c r="P147" s="7" t="s">
        <v>999</v>
      </c>
    </row>
    <row r="148" ht="22.5" customHeight="1">
      <c r="A148" s="7" t="s">
        <v>1000</v>
      </c>
      <c r="B148" s="8" t="s">
        <v>1001</v>
      </c>
      <c r="C148" s="9" t="s">
        <v>1002</v>
      </c>
      <c r="D148" s="9" t="s">
        <v>213</v>
      </c>
      <c r="E148" s="7" t="s">
        <v>1003</v>
      </c>
      <c r="F148" s="7" t="s">
        <v>1004</v>
      </c>
      <c r="G148" s="8" t="s">
        <v>1005</v>
      </c>
      <c r="H148" s="7" t="s">
        <v>1006</v>
      </c>
      <c r="I148" s="9" t="s">
        <v>25</v>
      </c>
      <c r="J148" s="9" t="s">
        <v>26</v>
      </c>
      <c r="K148" s="9" t="s">
        <v>26</v>
      </c>
      <c r="L148" s="7" t="s">
        <v>26</v>
      </c>
      <c r="M148" s="7" t="s">
        <v>26</v>
      </c>
      <c r="N148" s="7" t="s">
        <v>27</v>
      </c>
      <c r="O148" s="10">
        <v>21.0</v>
      </c>
      <c r="P148" s="7" t="s">
        <v>1007</v>
      </c>
    </row>
    <row r="149" ht="22.5" customHeight="1">
      <c r="A149" s="7" t="s">
        <v>1008</v>
      </c>
      <c r="B149" s="8" t="s">
        <v>1009</v>
      </c>
      <c r="C149" s="9" t="s">
        <v>1002</v>
      </c>
      <c r="D149" s="9" t="s">
        <v>213</v>
      </c>
      <c r="E149" s="7" t="s">
        <v>1010</v>
      </c>
      <c r="F149" s="7" t="s">
        <v>1011</v>
      </c>
      <c r="G149" s="8" t="s">
        <v>1012</v>
      </c>
      <c r="H149" s="7" t="s">
        <v>1013</v>
      </c>
      <c r="I149" s="9" t="s">
        <v>25</v>
      </c>
      <c r="J149" s="9" t="s">
        <v>26</v>
      </c>
      <c r="K149" s="9" t="s">
        <v>26</v>
      </c>
      <c r="L149" s="7" t="s">
        <v>26</v>
      </c>
      <c r="M149" s="7" t="s">
        <v>26</v>
      </c>
      <c r="N149" s="7" t="s">
        <v>27</v>
      </c>
      <c r="O149" s="10">
        <v>21.0</v>
      </c>
      <c r="P149" s="7" t="s">
        <v>1014</v>
      </c>
    </row>
    <row r="150" ht="22.5" customHeight="1">
      <c r="A150" s="7" t="s">
        <v>1015</v>
      </c>
      <c r="B150" s="8" t="s">
        <v>1016</v>
      </c>
      <c r="C150" s="9" t="s">
        <v>1002</v>
      </c>
      <c r="D150" s="9" t="s">
        <v>213</v>
      </c>
      <c r="E150" s="7" t="s">
        <v>1017</v>
      </c>
      <c r="F150" s="7" t="s">
        <v>1018</v>
      </c>
      <c r="G150" s="8" t="s">
        <v>1019</v>
      </c>
      <c r="H150" s="7" t="s">
        <v>1020</v>
      </c>
      <c r="I150" s="9" t="s">
        <v>25</v>
      </c>
      <c r="J150" s="9" t="s">
        <v>26</v>
      </c>
      <c r="K150" s="9" t="s">
        <v>26</v>
      </c>
      <c r="L150" s="7" t="s">
        <v>26</v>
      </c>
      <c r="M150" s="7" t="s">
        <v>26</v>
      </c>
      <c r="N150" s="7" t="s">
        <v>27</v>
      </c>
      <c r="O150" s="10">
        <v>21.0</v>
      </c>
      <c r="P150" s="7" t="s">
        <v>1021</v>
      </c>
    </row>
    <row r="151" ht="22.5" customHeight="1">
      <c r="A151" s="7" t="s">
        <v>1022</v>
      </c>
      <c r="B151" s="8" t="s">
        <v>1023</v>
      </c>
      <c r="C151" s="9" t="s">
        <v>1002</v>
      </c>
      <c r="D151" s="9" t="s">
        <v>213</v>
      </c>
      <c r="E151" s="7" t="s">
        <v>1024</v>
      </c>
      <c r="F151" s="7" t="s">
        <v>1025</v>
      </c>
      <c r="G151" s="8" t="s">
        <v>1026</v>
      </c>
      <c r="H151" s="7" t="s">
        <v>1027</v>
      </c>
      <c r="I151" s="9" t="s">
        <v>25</v>
      </c>
      <c r="J151" s="9" t="s">
        <v>26</v>
      </c>
      <c r="K151" s="9" t="s">
        <v>26</v>
      </c>
      <c r="L151" s="7" t="s">
        <v>26</v>
      </c>
      <c r="M151" s="7" t="s">
        <v>26</v>
      </c>
      <c r="N151" s="7" t="s">
        <v>27</v>
      </c>
      <c r="O151" s="10" t="s">
        <v>1028</v>
      </c>
      <c r="P151" s="7" t="s">
        <v>1029</v>
      </c>
    </row>
    <row r="152" ht="22.5" customHeight="1">
      <c r="A152" s="7" t="s">
        <v>1030</v>
      </c>
      <c r="B152" s="8" t="s">
        <v>1031</v>
      </c>
      <c r="C152" s="9" t="s">
        <v>1002</v>
      </c>
      <c r="D152" s="9" t="s">
        <v>213</v>
      </c>
      <c r="E152" s="7" t="s">
        <v>1032</v>
      </c>
      <c r="F152" s="7" t="s">
        <v>1033</v>
      </c>
      <c r="G152" s="8" t="s">
        <v>1034</v>
      </c>
      <c r="H152" s="7" t="s">
        <v>1035</v>
      </c>
      <c r="I152" s="9" t="s">
        <v>25</v>
      </c>
      <c r="J152" s="9" t="s">
        <v>26</v>
      </c>
      <c r="K152" s="9" t="s">
        <v>26</v>
      </c>
      <c r="L152" s="7" t="s">
        <v>26</v>
      </c>
      <c r="M152" s="7" t="s">
        <v>26</v>
      </c>
      <c r="N152" s="7" t="s">
        <v>27</v>
      </c>
      <c r="O152" s="10">
        <v>22.0</v>
      </c>
      <c r="P152" s="7" t="s">
        <v>1036</v>
      </c>
    </row>
    <row r="153" ht="22.5" customHeight="1">
      <c r="A153" s="7" t="s">
        <v>1037</v>
      </c>
      <c r="B153" s="8" t="s">
        <v>1038</v>
      </c>
      <c r="C153" s="9" t="s">
        <v>1002</v>
      </c>
      <c r="D153" s="9" t="s">
        <v>213</v>
      </c>
      <c r="E153" s="7" t="s">
        <v>1039</v>
      </c>
      <c r="F153" s="8" t="s">
        <v>1040</v>
      </c>
      <c r="G153" s="8" t="s">
        <v>1041</v>
      </c>
      <c r="H153" s="7" t="s">
        <v>1042</v>
      </c>
      <c r="I153" s="9" t="s">
        <v>25</v>
      </c>
      <c r="J153" s="9" t="s">
        <v>26</v>
      </c>
      <c r="K153" s="9" t="s">
        <v>26</v>
      </c>
      <c r="L153" s="7" t="s">
        <v>26</v>
      </c>
      <c r="M153" s="7" t="s">
        <v>26</v>
      </c>
      <c r="N153" s="7" t="s">
        <v>27</v>
      </c>
      <c r="O153" s="10">
        <v>22.0</v>
      </c>
      <c r="P153" s="7" t="s">
        <v>1043</v>
      </c>
    </row>
    <row r="154" ht="22.5" customHeight="1">
      <c r="A154" s="7" t="s">
        <v>1044</v>
      </c>
      <c r="B154" s="8" t="s">
        <v>1045</v>
      </c>
      <c r="C154" s="9" t="s">
        <v>1046</v>
      </c>
      <c r="D154" s="9" t="s">
        <v>75</v>
      </c>
      <c r="E154" s="15" t="s">
        <v>1047</v>
      </c>
      <c r="F154" s="8" t="s">
        <v>1048</v>
      </c>
      <c r="G154" s="8" t="s">
        <v>1049</v>
      </c>
      <c r="H154" s="7" t="s">
        <v>1050</v>
      </c>
      <c r="I154" s="9" t="s">
        <v>25</v>
      </c>
      <c r="J154" s="9" t="s">
        <v>26</v>
      </c>
      <c r="K154" s="9" t="s">
        <v>26</v>
      </c>
      <c r="L154" s="7" t="s">
        <v>26</v>
      </c>
      <c r="M154" s="7" t="s">
        <v>26</v>
      </c>
      <c r="N154" s="7" t="s">
        <v>1051</v>
      </c>
      <c r="O154" s="10">
        <v>19.0</v>
      </c>
      <c r="P154" s="7" t="s">
        <v>1052</v>
      </c>
    </row>
    <row r="155" ht="22.5" customHeight="1">
      <c r="A155" s="7" t="s">
        <v>1053</v>
      </c>
      <c r="B155" s="8" t="s">
        <v>1054</v>
      </c>
      <c r="C155" s="9" t="s">
        <v>1046</v>
      </c>
      <c r="D155" s="9" t="s">
        <v>174</v>
      </c>
      <c r="E155" s="15" t="s">
        <v>1055</v>
      </c>
      <c r="F155" s="8" t="s">
        <v>1056</v>
      </c>
      <c r="G155" s="8" t="s">
        <v>1057</v>
      </c>
      <c r="H155" s="7" t="s">
        <v>1058</v>
      </c>
      <c r="I155" s="9" t="s">
        <v>25</v>
      </c>
      <c r="J155" s="9" t="s">
        <v>26</v>
      </c>
      <c r="K155" s="9" t="s">
        <v>26</v>
      </c>
      <c r="L155" s="7" t="s">
        <v>26</v>
      </c>
      <c r="M155" s="7" t="s">
        <v>26</v>
      </c>
      <c r="N155" s="7" t="s">
        <v>1051</v>
      </c>
      <c r="O155" s="10">
        <v>19.0</v>
      </c>
      <c r="P155" s="7" t="s">
        <v>1059</v>
      </c>
    </row>
    <row r="156" ht="22.5" customHeight="1">
      <c r="A156" s="7" t="s">
        <v>1060</v>
      </c>
      <c r="B156" s="8" t="s">
        <v>1061</v>
      </c>
      <c r="C156" s="9" t="s">
        <v>1046</v>
      </c>
      <c r="D156" s="9" t="s">
        <v>252</v>
      </c>
      <c r="E156" s="15" t="s">
        <v>1062</v>
      </c>
      <c r="F156" s="8" t="s">
        <v>1063</v>
      </c>
      <c r="G156" s="8" t="s">
        <v>1064</v>
      </c>
      <c r="H156" s="7" t="s">
        <v>1065</v>
      </c>
      <c r="I156" s="9" t="s">
        <v>25</v>
      </c>
      <c r="J156" s="9" t="s">
        <v>26</v>
      </c>
      <c r="K156" s="9" t="s">
        <v>26</v>
      </c>
      <c r="L156" s="7" t="s">
        <v>26</v>
      </c>
      <c r="M156" s="7" t="s">
        <v>26</v>
      </c>
      <c r="N156" s="7" t="s">
        <v>1051</v>
      </c>
      <c r="O156" s="10">
        <v>19.0</v>
      </c>
      <c r="P156" s="7" t="s">
        <v>1066</v>
      </c>
    </row>
    <row r="157" ht="22.5" customHeight="1">
      <c r="A157" s="7" t="s">
        <v>1067</v>
      </c>
      <c r="B157" s="8" t="s">
        <v>1068</v>
      </c>
      <c r="C157" s="9" t="s">
        <v>1046</v>
      </c>
      <c r="D157" s="9" t="s">
        <v>75</v>
      </c>
      <c r="E157" s="15" t="s">
        <v>1069</v>
      </c>
      <c r="F157" s="8" t="s">
        <v>1070</v>
      </c>
      <c r="G157" s="8" t="s">
        <v>1071</v>
      </c>
      <c r="H157" s="7" t="s">
        <v>1072</v>
      </c>
      <c r="I157" s="9" t="s">
        <v>25</v>
      </c>
      <c r="J157" s="9" t="s">
        <v>26</v>
      </c>
      <c r="K157" s="9" t="s">
        <v>26</v>
      </c>
      <c r="L157" s="7" t="s">
        <v>26</v>
      </c>
      <c r="M157" s="7" t="s">
        <v>26</v>
      </c>
      <c r="N157" s="7" t="s">
        <v>1051</v>
      </c>
      <c r="O157" s="10">
        <v>19.0</v>
      </c>
      <c r="P157" s="7" t="s">
        <v>1073</v>
      </c>
    </row>
    <row r="158" ht="22.5" customHeight="1">
      <c r="A158" s="7" t="s">
        <v>1074</v>
      </c>
      <c r="B158" s="8" t="s">
        <v>1075</v>
      </c>
      <c r="C158" s="9" t="s">
        <v>1046</v>
      </c>
      <c r="D158" s="9" t="s">
        <v>252</v>
      </c>
      <c r="E158" s="15" t="s">
        <v>1076</v>
      </c>
      <c r="F158" s="8" t="s">
        <v>1077</v>
      </c>
      <c r="G158" s="8" t="s">
        <v>1078</v>
      </c>
      <c r="H158" s="7" t="s">
        <v>1079</v>
      </c>
      <c r="I158" s="9" t="s">
        <v>25</v>
      </c>
      <c r="J158" s="9" t="s">
        <v>26</v>
      </c>
      <c r="K158" s="9" t="s">
        <v>26</v>
      </c>
      <c r="L158" s="7" t="s">
        <v>26</v>
      </c>
      <c r="M158" s="7" t="s">
        <v>26</v>
      </c>
      <c r="N158" s="7" t="s">
        <v>1051</v>
      </c>
      <c r="O158" s="10">
        <v>19.0</v>
      </c>
      <c r="P158" s="7" t="s">
        <v>1080</v>
      </c>
    </row>
    <row r="159" ht="22.5" customHeight="1">
      <c r="A159" s="7" t="s">
        <v>1081</v>
      </c>
      <c r="B159" s="8" t="s">
        <v>1082</v>
      </c>
      <c r="C159" s="9" t="s">
        <v>1046</v>
      </c>
      <c r="D159" s="9" t="s">
        <v>213</v>
      </c>
      <c r="E159" s="15" t="s">
        <v>1083</v>
      </c>
      <c r="F159" s="8" t="s">
        <v>1084</v>
      </c>
      <c r="G159" s="8" t="s">
        <v>1085</v>
      </c>
      <c r="H159" s="7" t="s">
        <v>1086</v>
      </c>
      <c r="I159" s="9" t="s">
        <v>25</v>
      </c>
      <c r="J159" s="9" t="s">
        <v>26</v>
      </c>
      <c r="K159" s="9" t="s">
        <v>26</v>
      </c>
      <c r="L159" s="7" t="s">
        <v>26</v>
      </c>
      <c r="M159" s="7" t="s">
        <v>26</v>
      </c>
      <c r="N159" s="7" t="s">
        <v>1051</v>
      </c>
      <c r="O159" s="10">
        <v>19.0</v>
      </c>
      <c r="P159" s="7" t="s">
        <v>1087</v>
      </c>
    </row>
    <row r="160" ht="22.5" customHeight="1">
      <c r="A160" s="7" t="s">
        <v>1088</v>
      </c>
      <c r="B160" s="8" t="s">
        <v>1089</v>
      </c>
      <c r="C160" s="9" t="s">
        <v>1046</v>
      </c>
      <c r="D160" s="9" t="s">
        <v>174</v>
      </c>
      <c r="E160" s="15" t="s">
        <v>1090</v>
      </c>
      <c r="F160" s="8" t="s">
        <v>1091</v>
      </c>
      <c r="G160" s="8" t="s">
        <v>1092</v>
      </c>
      <c r="H160" s="7" t="s">
        <v>1093</v>
      </c>
      <c r="I160" s="9" t="s">
        <v>25</v>
      </c>
      <c r="J160" s="9" t="s">
        <v>26</v>
      </c>
      <c r="K160" s="9" t="s">
        <v>26</v>
      </c>
      <c r="L160" s="15" t="s">
        <v>26</v>
      </c>
      <c r="M160" s="15" t="s">
        <v>26</v>
      </c>
      <c r="N160" s="7" t="s">
        <v>27</v>
      </c>
      <c r="O160" s="10">
        <v>20.0</v>
      </c>
      <c r="P160" s="7" t="s">
        <v>1094</v>
      </c>
    </row>
    <row r="161" ht="22.5" customHeight="1">
      <c r="A161" s="7" t="s">
        <v>1095</v>
      </c>
      <c r="B161" s="8" t="s">
        <v>1096</v>
      </c>
      <c r="C161" s="9" t="s">
        <v>1046</v>
      </c>
      <c r="D161" s="9" t="s">
        <v>213</v>
      </c>
      <c r="E161" s="15" t="s">
        <v>1097</v>
      </c>
      <c r="F161" s="8" t="s">
        <v>1098</v>
      </c>
      <c r="G161" s="8" t="s">
        <v>1099</v>
      </c>
      <c r="H161" s="7" t="s">
        <v>1100</v>
      </c>
      <c r="I161" s="9" t="s">
        <v>25</v>
      </c>
      <c r="J161" s="9" t="s">
        <v>26</v>
      </c>
      <c r="K161" s="9" t="s">
        <v>1101</v>
      </c>
      <c r="L161" s="15" t="s">
        <v>26</v>
      </c>
      <c r="M161" s="15" t="s">
        <v>26</v>
      </c>
      <c r="N161" s="7" t="s">
        <v>27</v>
      </c>
      <c r="O161" s="10">
        <v>20.0</v>
      </c>
      <c r="P161" s="7" t="s">
        <v>1102</v>
      </c>
    </row>
    <row r="162" ht="22.5" customHeight="1">
      <c r="A162" s="7" t="s">
        <v>1103</v>
      </c>
      <c r="B162" s="8" t="s">
        <v>1104</v>
      </c>
      <c r="C162" s="9" t="s">
        <v>1046</v>
      </c>
      <c r="D162" s="9" t="s">
        <v>174</v>
      </c>
      <c r="E162" s="15" t="s">
        <v>1105</v>
      </c>
      <c r="F162" s="8" t="s">
        <v>1106</v>
      </c>
      <c r="G162" s="8" t="s">
        <v>1107</v>
      </c>
      <c r="H162" s="7" t="s">
        <v>1108</v>
      </c>
      <c r="I162" s="9" t="s">
        <v>25</v>
      </c>
      <c r="J162" s="9" t="s">
        <v>26</v>
      </c>
      <c r="K162" s="9" t="s">
        <v>26</v>
      </c>
      <c r="L162" s="15" t="s">
        <v>26</v>
      </c>
      <c r="M162" s="15" t="s">
        <v>26</v>
      </c>
      <c r="N162" s="7" t="s">
        <v>27</v>
      </c>
      <c r="O162" s="10">
        <v>20.0</v>
      </c>
      <c r="P162" s="7" t="s">
        <v>1109</v>
      </c>
    </row>
    <row r="163" ht="22.5" customHeight="1">
      <c r="A163" s="7" t="s">
        <v>295</v>
      </c>
      <c r="B163" s="16" t="s">
        <v>1110</v>
      </c>
      <c r="C163" s="17" t="s">
        <v>236</v>
      </c>
      <c r="D163" s="17" t="s">
        <v>31</v>
      </c>
      <c r="E163" s="18" t="s">
        <v>1111</v>
      </c>
      <c r="F163" s="19" t="s">
        <v>1112</v>
      </c>
      <c r="G163" s="19" t="s">
        <v>1113</v>
      </c>
      <c r="H163" s="19" t="s">
        <v>1114</v>
      </c>
      <c r="I163" s="17" t="s">
        <v>51</v>
      </c>
      <c r="J163" s="17" t="s">
        <v>26</v>
      </c>
      <c r="K163" s="17" t="s">
        <v>26</v>
      </c>
      <c r="L163" s="20" t="s">
        <v>1115</v>
      </c>
      <c r="M163" s="18" t="s">
        <v>1116</v>
      </c>
      <c r="N163" s="16" t="s">
        <v>1117</v>
      </c>
      <c r="O163" s="21">
        <v>18.0</v>
      </c>
      <c r="P163" s="16" t="s">
        <v>1118</v>
      </c>
      <c r="Q163" s="16" t="s">
        <v>26</v>
      </c>
    </row>
    <row r="164" ht="22.5" customHeight="1">
      <c r="A164" s="7" t="s">
        <v>1119</v>
      </c>
      <c r="B164" s="16" t="s">
        <v>1120</v>
      </c>
      <c r="C164" s="17" t="s">
        <v>236</v>
      </c>
      <c r="D164" s="17" t="s">
        <v>183</v>
      </c>
      <c r="E164" s="18" t="s">
        <v>1121</v>
      </c>
      <c r="F164" s="19" t="s">
        <v>1122</v>
      </c>
      <c r="G164" s="19" t="s">
        <v>1123</v>
      </c>
      <c r="H164" s="19" t="s">
        <v>1124</v>
      </c>
      <c r="I164" s="17" t="s">
        <v>51</v>
      </c>
      <c r="J164" s="17" t="s">
        <v>26</v>
      </c>
      <c r="K164" s="17" t="s">
        <v>26</v>
      </c>
      <c r="L164" s="20" t="s">
        <v>1115</v>
      </c>
      <c r="M164" s="18" t="s">
        <v>1116</v>
      </c>
      <c r="N164" s="16" t="s">
        <v>1117</v>
      </c>
      <c r="O164" s="21">
        <v>3.0</v>
      </c>
      <c r="P164" s="16" t="s">
        <v>1125</v>
      </c>
      <c r="Q164" s="16" t="s">
        <v>26</v>
      </c>
    </row>
    <row r="165" ht="22.5" customHeight="1">
      <c r="A165" s="7" t="s">
        <v>1126</v>
      </c>
      <c r="B165" s="22" t="s">
        <v>1127</v>
      </c>
      <c r="C165" s="23" t="s">
        <v>236</v>
      </c>
      <c r="D165" s="23" t="s">
        <v>31</v>
      </c>
      <c r="E165" s="24" t="s">
        <v>1128</v>
      </c>
      <c r="F165" s="25" t="s">
        <v>1129</v>
      </c>
      <c r="G165" s="25" t="s">
        <v>1130</v>
      </c>
      <c r="H165" s="25" t="s">
        <v>1131</v>
      </c>
      <c r="I165" s="23" t="s">
        <v>26</v>
      </c>
      <c r="J165" s="23" t="s">
        <v>26</v>
      </c>
      <c r="K165" s="23" t="s">
        <v>26</v>
      </c>
      <c r="L165" s="26" t="s">
        <v>1115</v>
      </c>
      <c r="M165" s="24" t="s">
        <v>1116</v>
      </c>
      <c r="N165" s="22" t="s">
        <v>1117</v>
      </c>
      <c r="O165" s="27">
        <v>3.0</v>
      </c>
      <c r="P165" s="22" t="s">
        <v>1132</v>
      </c>
      <c r="Q165" s="22" t="s">
        <v>26</v>
      </c>
    </row>
    <row r="166" ht="22.5" customHeight="1">
      <c r="A166" s="7" t="s">
        <v>1133</v>
      </c>
      <c r="B166" s="22" t="s">
        <v>1134</v>
      </c>
      <c r="C166" s="23" t="s">
        <v>236</v>
      </c>
      <c r="D166" s="23" t="s">
        <v>31</v>
      </c>
      <c r="E166" s="24" t="s">
        <v>1135</v>
      </c>
      <c r="F166" s="25" t="s">
        <v>1136</v>
      </c>
      <c r="G166" s="25" t="s">
        <v>1137</v>
      </c>
      <c r="H166" s="25" t="s">
        <v>1138</v>
      </c>
      <c r="I166" s="23" t="s">
        <v>26</v>
      </c>
      <c r="J166" s="23" t="s">
        <v>26</v>
      </c>
      <c r="K166" s="23" t="s">
        <v>26</v>
      </c>
      <c r="L166" s="26" t="s">
        <v>1115</v>
      </c>
      <c r="M166" s="24" t="s">
        <v>1116</v>
      </c>
      <c r="N166" s="22" t="s">
        <v>1117</v>
      </c>
      <c r="O166" s="27" t="s">
        <v>26</v>
      </c>
      <c r="P166" s="22" t="s">
        <v>1139</v>
      </c>
      <c r="Q166" s="22" t="s">
        <v>26</v>
      </c>
    </row>
    <row r="167" ht="22.5" customHeight="1">
      <c r="A167" s="7" t="s">
        <v>1140</v>
      </c>
      <c r="B167" s="22" t="s">
        <v>1141</v>
      </c>
      <c r="C167" s="23" t="s">
        <v>236</v>
      </c>
      <c r="D167" s="23" t="s">
        <v>31</v>
      </c>
      <c r="E167" s="24" t="s">
        <v>1135</v>
      </c>
      <c r="F167" s="25" t="s">
        <v>1142</v>
      </c>
      <c r="G167" s="25" t="s">
        <v>1143</v>
      </c>
      <c r="H167" s="25" t="s">
        <v>1144</v>
      </c>
      <c r="I167" s="23" t="s">
        <v>26</v>
      </c>
      <c r="J167" s="23" t="s">
        <v>26</v>
      </c>
      <c r="K167" s="23" t="s">
        <v>26</v>
      </c>
      <c r="L167" s="26" t="s">
        <v>1115</v>
      </c>
      <c r="M167" s="24" t="s">
        <v>1116</v>
      </c>
      <c r="N167" s="22" t="s">
        <v>1117</v>
      </c>
      <c r="O167" s="27" t="s">
        <v>26</v>
      </c>
      <c r="P167" s="22" t="s">
        <v>1145</v>
      </c>
      <c r="Q167" s="22" t="s">
        <v>26</v>
      </c>
    </row>
    <row r="168" ht="22.5" customHeight="1">
      <c r="A168" s="7" t="s">
        <v>1146</v>
      </c>
      <c r="B168" s="16" t="s">
        <v>1147</v>
      </c>
      <c r="C168" s="17" t="s">
        <v>236</v>
      </c>
      <c r="D168" s="17" t="s">
        <v>31</v>
      </c>
      <c r="E168" s="18" t="s">
        <v>1135</v>
      </c>
      <c r="F168" s="19" t="s">
        <v>1148</v>
      </c>
      <c r="G168" s="19" t="s">
        <v>1149</v>
      </c>
      <c r="H168" s="19" t="s">
        <v>1150</v>
      </c>
      <c r="I168" s="17" t="s">
        <v>26</v>
      </c>
      <c r="J168" s="17" t="s">
        <v>26</v>
      </c>
      <c r="K168" s="17" t="s">
        <v>26</v>
      </c>
      <c r="L168" s="20" t="s">
        <v>1115</v>
      </c>
      <c r="M168" s="18" t="s">
        <v>1116</v>
      </c>
      <c r="N168" s="16" t="s">
        <v>1117</v>
      </c>
      <c r="O168" s="21" t="s">
        <v>26</v>
      </c>
      <c r="P168" s="16" t="s">
        <v>1151</v>
      </c>
      <c r="Q168" s="16" t="s">
        <v>26</v>
      </c>
    </row>
    <row r="169" ht="22.5" customHeight="1">
      <c r="A169" s="7" t="s">
        <v>1152</v>
      </c>
      <c r="B169" s="16" t="s">
        <v>1153</v>
      </c>
      <c r="C169" s="17" t="s">
        <v>236</v>
      </c>
      <c r="D169" s="17" t="s">
        <v>31</v>
      </c>
      <c r="E169" s="18" t="s">
        <v>1135</v>
      </c>
      <c r="F169" s="19" t="s">
        <v>1142</v>
      </c>
      <c r="G169" s="19" t="s">
        <v>1154</v>
      </c>
      <c r="H169" s="19" t="s">
        <v>1155</v>
      </c>
      <c r="I169" s="17" t="s">
        <v>26</v>
      </c>
      <c r="J169" s="17" t="s">
        <v>26</v>
      </c>
      <c r="K169" s="17" t="s">
        <v>26</v>
      </c>
      <c r="L169" s="20" t="s">
        <v>1115</v>
      </c>
      <c r="M169" s="18" t="s">
        <v>1116</v>
      </c>
      <c r="N169" s="16" t="s">
        <v>1117</v>
      </c>
      <c r="O169" s="21">
        <v>16.0</v>
      </c>
      <c r="P169" s="16" t="s">
        <v>1156</v>
      </c>
      <c r="Q169" s="16" t="s">
        <v>26</v>
      </c>
    </row>
    <row r="170" ht="22.5" customHeight="1">
      <c r="A170" s="7" t="s">
        <v>1157</v>
      </c>
      <c r="B170" s="16" t="s">
        <v>1158</v>
      </c>
      <c r="C170" s="17" t="s">
        <v>236</v>
      </c>
      <c r="D170" s="17" t="s">
        <v>31</v>
      </c>
      <c r="E170" s="18" t="s">
        <v>1135</v>
      </c>
      <c r="F170" s="19" t="s">
        <v>1142</v>
      </c>
      <c r="G170" s="19" t="s">
        <v>1159</v>
      </c>
      <c r="H170" s="19" t="s">
        <v>1160</v>
      </c>
      <c r="I170" s="17" t="s">
        <v>26</v>
      </c>
      <c r="J170" s="17" t="s">
        <v>26</v>
      </c>
      <c r="K170" s="17" t="s">
        <v>26</v>
      </c>
      <c r="L170" s="20" t="s">
        <v>1115</v>
      </c>
      <c r="M170" s="18" t="s">
        <v>1116</v>
      </c>
      <c r="N170" s="16" t="s">
        <v>1117</v>
      </c>
      <c r="O170" s="21">
        <v>16.0</v>
      </c>
      <c r="P170" s="16" t="s">
        <v>1161</v>
      </c>
      <c r="Q170" s="16" t="s">
        <v>26</v>
      </c>
    </row>
    <row r="171" ht="22.5" customHeight="1">
      <c r="A171" s="7" t="s">
        <v>1162</v>
      </c>
      <c r="B171" s="7" t="s">
        <v>1163</v>
      </c>
      <c r="C171" s="9" t="s">
        <v>236</v>
      </c>
      <c r="D171" s="9" t="s">
        <v>46</v>
      </c>
      <c r="E171" s="15" t="s">
        <v>1164</v>
      </c>
      <c r="F171" s="7" t="s">
        <v>1165</v>
      </c>
      <c r="G171" s="8" t="s">
        <v>1166</v>
      </c>
      <c r="H171" s="8" t="s">
        <v>1167</v>
      </c>
      <c r="I171" s="9" t="s">
        <v>26</v>
      </c>
      <c r="J171" s="9" t="s">
        <v>26</v>
      </c>
      <c r="K171" s="9" t="s">
        <v>26</v>
      </c>
      <c r="L171" s="28" t="s">
        <v>1115</v>
      </c>
      <c r="M171" s="15" t="s">
        <v>1116</v>
      </c>
      <c r="N171" s="7" t="s">
        <v>1117</v>
      </c>
      <c r="O171" s="10">
        <v>5.0</v>
      </c>
      <c r="P171" s="7" t="s">
        <v>1168</v>
      </c>
      <c r="Q171" s="7" t="s">
        <v>26</v>
      </c>
    </row>
    <row r="172" ht="22.5" customHeight="1">
      <c r="A172" s="7" t="s">
        <v>1169</v>
      </c>
      <c r="B172" s="8" t="s">
        <v>1170</v>
      </c>
      <c r="C172" s="9" t="s">
        <v>236</v>
      </c>
      <c r="D172" s="9" t="s">
        <v>31</v>
      </c>
      <c r="E172" s="15" t="s">
        <v>32</v>
      </c>
      <c r="F172" s="7" t="s">
        <v>1171</v>
      </c>
      <c r="G172" s="8" t="s">
        <v>1172</v>
      </c>
      <c r="H172" s="8" t="s">
        <v>1173</v>
      </c>
      <c r="I172" s="9" t="s">
        <v>26</v>
      </c>
      <c r="J172" s="9" t="s">
        <v>26</v>
      </c>
      <c r="K172" s="9" t="s">
        <v>26</v>
      </c>
      <c r="L172" s="28" t="s">
        <v>1115</v>
      </c>
      <c r="M172" s="15" t="s">
        <v>1116</v>
      </c>
      <c r="N172" s="7" t="s">
        <v>1117</v>
      </c>
      <c r="O172" s="10">
        <v>6.0</v>
      </c>
      <c r="P172" s="7" t="s">
        <v>1174</v>
      </c>
      <c r="Q172" s="7" t="s">
        <v>26</v>
      </c>
    </row>
    <row r="173" ht="22.5" customHeight="1">
      <c r="A173" s="7" t="s">
        <v>1175</v>
      </c>
      <c r="B173" s="8" t="s">
        <v>1176</v>
      </c>
      <c r="C173" s="9" t="s">
        <v>236</v>
      </c>
      <c r="D173" s="9" t="s">
        <v>31</v>
      </c>
      <c r="E173" s="15" t="s">
        <v>1135</v>
      </c>
      <c r="F173" s="7" t="s">
        <v>1177</v>
      </c>
      <c r="G173" s="8" t="s">
        <v>1178</v>
      </c>
      <c r="H173" s="8" t="s">
        <v>1179</v>
      </c>
      <c r="I173" s="9" t="s">
        <v>26</v>
      </c>
      <c r="J173" s="9" t="s">
        <v>26</v>
      </c>
      <c r="K173" s="9" t="s">
        <v>26</v>
      </c>
      <c r="L173" s="28" t="s">
        <v>1115</v>
      </c>
      <c r="M173" s="15" t="s">
        <v>1116</v>
      </c>
      <c r="N173" s="7" t="s">
        <v>1117</v>
      </c>
      <c r="O173" s="10">
        <v>15.0</v>
      </c>
      <c r="P173" s="7" t="s">
        <v>1180</v>
      </c>
      <c r="Q173" s="7" t="s">
        <v>26</v>
      </c>
    </row>
    <row r="174" ht="22.5" customHeight="1">
      <c r="A174" s="7" t="s">
        <v>1181</v>
      </c>
      <c r="B174" s="8" t="s">
        <v>1182</v>
      </c>
      <c r="C174" s="9" t="s">
        <v>236</v>
      </c>
      <c r="D174" s="9" t="s">
        <v>31</v>
      </c>
      <c r="E174" s="15" t="s">
        <v>1135</v>
      </c>
      <c r="F174" s="7" t="s">
        <v>1183</v>
      </c>
      <c r="G174" s="8" t="s">
        <v>1184</v>
      </c>
      <c r="H174" s="8" t="s">
        <v>1185</v>
      </c>
      <c r="I174" s="9" t="s">
        <v>26</v>
      </c>
      <c r="J174" s="9" t="s">
        <v>26</v>
      </c>
      <c r="K174" s="9" t="s">
        <v>26</v>
      </c>
      <c r="L174" s="28" t="s">
        <v>1115</v>
      </c>
      <c r="M174" s="15" t="s">
        <v>1116</v>
      </c>
      <c r="N174" s="7" t="s">
        <v>1117</v>
      </c>
      <c r="O174" s="10">
        <v>15.0</v>
      </c>
      <c r="P174" s="7" t="s">
        <v>1186</v>
      </c>
      <c r="Q174" s="29" t="s">
        <v>26</v>
      </c>
    </row>
    <row r="175" ht="22.5" customHeight="1">
      <c r="A175" s="30" t="str">
        <f>IFERROR(__xludf.DUMMYFUNCTION("AI(""Fill an appropriate value for this cell based on the table context"")"),"NIIST-021")</f>
        <v>NIIST-021</v>
      </c>
      <c r="B175" s="8" t="s">
        <v>1187</v>
      </c>
      <c r="C175" s="9" t="s">
        <v>236</v>
      </c>
      <c r="D175" s="9" t="s">
        <v>31</v>
      </c>
      <c r="E175" s="15" t="s">
        <v>1188</v>
      </c>
      <c r="F175" s="7" t="s">
        <v>1189</v>
      </c>
      <c r="G175" s="8" t="s">
        <v>1190</v>
      </c>
      <c r="H175" s="8" t="s">
        <v>1191</v>
      </c>
      <c r="I175" s="9" t="s">
        <v>26</v>
      </c>
      <c r="J175" s="9" t="s">
        <v>26</v>
      </c>
      <c r="K175" s="9" t="s">
        <v>26</v>
      </c>
      <c r="L175" s="28" t="s">
        <v>1115</v>
      </c>
      <c r="M175" s="15" t="s">
        <v>1116</v>
      </c>
      <c r="N175" s="7" t="s">
        <v>1117</v>
      </c>
      <c r="O175" s="10">
        <v>6.0</v>
      </c>
      <c r="P175" s="7" t="s">
        <v>1192</v>
      </c>
      <c r="Q175" s="7" t="s">
        <v>26</v>
      </c>
    </row>
    <row r="176" ht="22.5" customHeight="1">
      <c r="A176" s="7" t="s">
        <v>1193</v>
      </c>
      <c r="B176" s="8" t="s">
        <v>1194</v>
      </c>
      <c r="C176" s="9" t="s">
        <v>236</v>
      </c>
      <c r="D176" s="9" t="s">
        <v>31</v>
      </c>
      <c r="E176" s="15" t="s">
        <v>1195</v>
      </c>
      <c r="F176" s="7" t="s">
        <v>1196</v>
      </c>
      <c r="G176" s="8" t="s">
        <v>1197</v>
      </c>
      <c r="H176" s="8" t="s">
        <v>1198</v>
      </c>
      <c r="I176" s="9" t="s">
        <v>26</v>
      </c>
      <c r="J176" s="9" t="s">
        <v>26</v>
      </c>
      <c r="K176" s="9" t="s">
        <v>26</v>
      </c>
      <c r="L176" s="28" t="s">
        <v>1115</v>
      </c>
      <c r="M176" s="15" t="s">
        <v>1116</v>
      </c>
      <c r="N176" s="7" t="s">
        <v>1117</v>
      </c>
      <c r="O176" s="10">
        <v>14.0</v>
      </c>
      <c r="P176" s="7" t="s">
        <v>1199</v>
      </c>
      <c r="Q176" s="29" t="s">
        <v>26</v>
      </c>
    </row>
    <row r="177" ht="22.5" customHeight="1">
      <c r="A177" s="7" t="s">
        <v>1200</v>
      </c>
      <c r="B177" s="8" t="s">
        <v>1201</v>
      </c>
      <c r="C177" s="9" t="s">
        <v>236</v>
      </c>
      <c r="D177" s="9" t="s">
        <v>174</v>
      </c>
      <c r="E177" s="15" t="s">
        <v>1202</v>
      </c>
      <c r="F177" s="7" t="s">
        <v>1203</v>
      </c>
      <c r="G177" s="8" t="s">
        <v>1204</v>
      </c>
      <c r="H177" s="8" t="s">
        <v>1205</v>
      </c>
      <c r="I177" s="9" t="s">
        <v>26</v>
      </c>
      <c r="J177" s="9" t="s">
        <v>26</v>
      </c>
      <c r="K177" s="9" t="s">
        <v>26</v>
      </c>
      <c r="L177" s="28" t="s">
        <v>1115</v>
      </c>
      <c r="M177" s="15" t="s">
        <v>1116</v>
      </c>
      <c r="N177" s="7" t="s">
        <v>1117</v>
      </c>
      <c r="O177" s="10">
        <v>7.0</v>
      </c>
      <c r="P177" s="7" t="s">
        <v>1206</v>
      </c>
      <c r="Q177" s="7" t="s">
        <v>26</v>
      </c>
    </row>
    <row r="178" ht="22.5" customHeight="1">
      <c r="A178" s="7" t="s">
        <v>1207</v>
      </c>
      <c r="B178" s="8" t="s">
        <v>1208</v>
      </c>
      <c r="C178" s="9" t="s">
        <v>236</v>
      </c>
      <c r="D178" s="9" t="s">
        <v>31</v>
      </c>
      <c r="E178" s="15" t="s">
        <v>1135</v>
      </c>
      <c r="F178" s="7" t="s">
        <v>1209</v>
      </c>
      <c r="G178" s="8" t="s">
        <v>1210</v>
      </c>
      <c r="H178" s="8" t="s">
        <v>1211</v>
      </c>
      <c r="I178" s="9" t="s">
        <v>26</v>
      </c>
      <c r="J178" s="9" t="s">
        <v>26</v>
      </c>
      <c r="K178" s="9" t="s">
        <v>26</v>
      </c>
      <c r="L178" s="28" t="s">
        <v>1115</v>
      </c>
      <c r="M178" s="15" t="s">
        <v>1116</v>
      </c>
      <c r="N178" s="7" t="s">
        <v>1117</v>
      </c>
      <c r="O178" s="10">
        <v>14.0</v>
      </c>
      <c r="P178" s="7" t="s">
        <v>1212</v>
      </c>
      <c r="Q178" s="7" t="s">
        <v>26</v>
      </c>
    </row>
    <row r="179" ht="22.5" customHeight="1">
      <c r="A179" s="7" t="s">
        <v>1213</v>
      </c>
      <c r="B179" s="8" t="s">
        <v>1214</v>
      </c>
      <c r="C179" s="9" t="s">
        <v>236</v>
      </c>
      <c r="D179" s="9" t="s">
        <v>183</v>
      </c>
      <c r="E179" s="15" t="s">
        <v>1202</v>
      </c>
      <c r="F179" s="7" t="s">
        <v>1215</v>
      </c>
      <c r="G179" s="8" t="s">
        <v>1216</v>
      </c>
      <c r="H179" s="8" t="s">
        <v>1217</v>
      </c>
      <c r="I179" s="9" t="s">
        <v>26</v>
      </c>
      <c r="J179" s="9" t="s">
        <v>26</v>
      </c>
      <c r="K179" s="9" t="s">
        <v>26</v>
      </c>
      <c r="L179" s="28" t="s">
        <v>1115</v>
      </c>
      <c r="M179" s="15" t="s">
        <v>1116</v>
      </c>
      <c r="N179" s="7" t="s">
        <v>1117</v>
      </c>
      <c r="O179" s="10">
        <v>7.0</v>
      </c>
      <c r="P179" s="7" t="s">
        <v>1218</v>
      </c>
      <c r="Q179" s="7" t="s">
        <v>26</v>
      </c>
    </row>
    <row r="180" ht="22.5" customHeight="1">
      <c r="A180" s="7" t="s">
        <v>1219</v>
      </c>
      <c r="B180" s="8" t="s">
        <v>1220</v>
      </c>
      <c r="C180" s="9" t="s">
        <v>236</v>
      </c>
      <c r="D180" s="9" t="s">
        <v>31</v>
      </c>
      <c r="E180" s="15" t="s">
        <v>1135</v>
      </c>
      <c r="F180" s="8" t="s">
        <v>1221</v>
      </c>
      <c r="G180" s="8" t="s">
        <v>1222</v>
      </c>
      <c r="H180" s="8" t="s">
        <v>1223</v>
      </c>
      <c r="I180" s="9" t="s">
        <v>26</v>
      </c>
      <c r="J180" s="9" t="s">
        <v>26</v>
      </c>
      <c r="K180" s="9" t="s">
        <v>26</v>
      </c>
      <c r="L180" s="28" t="s">
        <v>1115</v>
      </c>
      <c r="M180" s="15" t="s">
        <v>1116</v>
      </c>
      <c r="N180" s="7" t="s">
        <v>1117</v>
      </c>
      <c r="O180" s="10" t="s">
        <v>26</v>
      </c>
      <c r="P180" s="7" t="s">
        <v>1224</v>
      </c>
      <c r="Q180" s="7" t="s">
        <v>26</v>
      </c>
    </row>
    <row r="181" ht="22.5" customHeight="1">
      <c r="A181" s="7" t="s">
        <v>1225</v>
      </c>
      <c r="B181" s="8" t="s">
        <v>1226</v>
      </c>
      <c r="C181" s="9" t="s">
        <v>236</v>
      </c>
      <c r="D181" s="9" t="s">
        <v>31</v>
      </c>
      <c r="E181" s="15" t="s">
        <v>1135</v>
      </c>
      <c r="F181" s="7" t="s">
        <v>1227</v>
      </c>
      <c r="G181" s="8" t="s">
        <v>1228</v>
      </c>
      <c r="H181" s="8" t="s">
        <v>1229</v>
      </c>
      <c r="I181" s="9" t="s">
        <v>26</v>
      </c>
      <c r="J181" s="9" t="s">
        <v>26</v>
      </c>
      <c r="K181" s="9" t="s">
        <v>26</v>
      </c>
      <c r="L181" s="28" t="s">
        <v>1115</v>
      </c>
      <c r="M181" s="15" t="s">
        <v>1116</v>
      </c>
      <c r="N181" s="7" t="s">
        <v>1117</v>
      </c>
      <c r="O181" s="10" t="s">
        <v>26</v>
      </c>
      <c r="P181" s="7" t="s">
        <v>1230</v>
      </c>
      <c r="Q181" s="7" t="s">
        <v>26</v>
      </c>
    </row>
    <row r="182" ht="22.5" customHeight="1">
      <c r="A182" s="7" t="s">
        <v>1231</v>
      </c>
      <c r="B182" s="8" t="s">
        <v>1232</v>
      </c>
      <c r="C182" s="9" t="s">
        <v>236</v>
      </c>
      <c r="D182" s="9" t="s">
        <v>31</v>
      </c>
      <c r="E182" s="15" t="s">
        <v>1135</v>
      </c>
      <c r="F182" s="7" t="s">
        <v>1233</v>
      </c>
      <c r="G182" s="8" t="s">
        <v>1234</v>
      </c>
      <c r="H182" s="8" t="s">
        <v>1235</v>
      </c>
      <c r="I182" s="9" t="s">
        <v>26</v>
      </c>
      <c r="J182" s="9" t="s">
        <v>26</v>
      </c>
      <c r="K182" s="9" t="s">
        <v>26</v>
      </c>
      <c r="L182" s="28" t="s">
        <v>1115</v>
      </c>
      <c r="M182" s="15" t="s">
        <v>1116</v>
      </c>
      <c r="N182" s="7" t="s">
        <v>1117</v>
      </c>
      <c r="O182" s="10" t="s">
        <v>26</v>
      </c>
      <c r="P182" s="7" t="s">
        <v>1236</v>
      </c>
      <c r="Q182" s="7" t="s">
        <v>26</v>
      </c>
    </row>
    <row r="183" ht="22.5" customHeight="1">
      <c r="A183" s="7" t="s">
        <v>1237</v>
      </c>
      <c r="B183" s="8" t="s">
        <v>1238</v>
      </c>
      <c r="C183" s="9" t="s">
        <v>236</v>
      </c>
      <c r="D183" s="9" t="s">
        <v>31</v>
      </c>
      <c r="E183" s="15" t="s">
        <v>1135</v>
      </c>
      <c r="F183" s="7" t="s">
        <v>1239</v>
      </c>
      <c r="G183" s="8" t="s">
        <v>1240</v>
      </c>
      <c r="H183" s="8" t="s">
        <v>1241</v>
      </c>
      <c r="I183" s="9" t="s">
        <v>26</v>
      </c>
      <c r="J183" s="9" t="s">
        <v>26</v>
      </c>
      <c r="K183" s="9" t="s">
        <v>26</v>
      </c>
      <c r="L183" s="28" t="s">
        <v>1115</v>
      </c>
      <c r="M183" s="15" t="s">
        <v>1116</v>
      </c>
      <c r="N183" s="7" t="s">
        <v>1117</v>
      </c>
      <c r="O183" s="10" t="s">
        <v>26</v>
      </c>
      <c r="P183" s="7" t="s">
        <v>1242</v>
      </c>
      <c r="Q183" s="7" t="s">
        <v>26</v>
      </c>
    </row>
    <row r="184" ht="22.5" customHeight="1">
      <c r="A184" s="7" t="s">
        <v>1243</v>
      </c>
      <c r="B184" s="8" t="s">
        <v>1244</v>
      </c>
      <c r="C184" s="9" t="s">
        <v>236</v>
      </c>
      <c r="D184" s="9" t="s">
        <v>31</v>
      </c>
      <c r="E184" s="15" t="s">
        <v>32</v>
      </c>
      <c r="F184" s="7" t="s">
        <v>1245</v>
      </c>
      <c r="G184" s="8" t="s">
        <v>1246</v>
      </c>
      <c r="H184" s="8" t="s">
        <v>1247</v>
      </c>
      <c r="I184" s="9" t="s">
        <v>26</v>
      </c>
      <c r="J184" s="9" t="s">
        <v>26</v>
      </c>
      <c r="K184" s="9" t="s">
        <v>26</v>
      </c>
      <c r="L184" s="28" t="s">
        <v>1115</v>
      </c>
      <c r="M184" s="15" t="s">
        <v>1116</v>
      </c>
      <c r="N184" s="7" t="s">
        <v>1117</v>
      </c>
      <c r="O184" s="10">
        <v>12.0</v>
      </c>
      <c r="P184" s="7" t="s">
        <v>1248</v>
      </c>
      <c r="Q184" s="7" t="s">
        <v>26</v>
      </c>
    </row>
    <row r="185" ht="22.5" customHeight="1">
      <c r="A185" s="30" t="str">
        <f>IFERROR(__xludf.DUMMYFUNCTION("AI(""Fill an appropriate value for this cell based on the table context"")"),"NIIST-030")</f>
        <v>NIIST-030</v>
      </c>
      <c r="B185" s="8" t="s">
        <v>1249</v>
      </c>
      <c r="C185" s="9" t="s">
        <v>236</v>
      </c>
      <c r="D185" s="9" t="s">
        <v>31</v>
      </c>
      <c r="E185" s="15" t="s">
        <v>32</v>
      </c>
      <c r="F185" s="7" t="s">
        <v>1250</v>
      </c>
      <c r="G185" s="8" t="s">
        <v>1251</v>
      </c>
      <c r="H185" s="8" t="s">
        <v>1252</v>
      </c>
      <c r="I185" s="9" t="s">
        <v>26</v>
      </c>
      <c r="J185" s="9" t="s">
        <v>26</v>
      </c>
      <c r="K185" s="9" t="s">
        <v>26</v>
      </c>
      <c r="L185" s="28" t="s">
        <v>1115</v>
      </c>
      <c r="M185" s="15" t="s">
        <v>1116</v>
      </c>
      <c r="N185" s="7" t="s">
        <v>1117</v>
      </c>
      <c r="O185" s="10">
        <v>12.0</v>
      </c>
      <c r="P185" s="7" t="s">
        <v>1253</v>
      </c>
      <c r="Q185" s="7" t="s">
        <v>26</v>
      </c>
    </row>
    <row r="186" ht="22.5" customHeight="1">
      <c r="A186" s="7" t="s">
        <v>1254</v>
      </c>
      <c r="B186" s="8" t="s">
        <v>1255</v>
      </c>
      <c r="C186" s="9" t="s">
        <v>236</v>
      </c>
      <c r="D186" s="9" t="s">
        <v>31</v>
      </c>
      <c r="E186" s="15" t="s">
        <v>1256</v>
      </c>
      <c r="F186" s="7" t="s">
        <v>1257</v>
      </c>
      <c r="G186" s="8" t="s">
        <v>1258</v>
      </c>
      <c r="H186" s="8" t="s">
        <v>1259</v>
      </c>
      <c r="I186" s="9" t="s">
        <v>26</v>
      </c>
      <c r="J186" s="9" t="s">
        <v>26</v>
      </c>
      <c r="K186" s="9" t="s">
        <v>26</v>
      </c>
      <c r="L186" s="28" t="s">
        <v>1115</v>
      </c>
      <c r="M186" s="15" t="s">
        <v>1116</v>
      </c>
      <c r="N186" s="7" t="s">
        <v>1117</v>
      </c>
      <c r="O186" s="10">
        <v>9.0</v>
      </c>
      <c r="P186" s="7" t="s">
        <v>1260</v>
      </c>
      <c r="Q186" s="7" t="s">
        <v>26</v>
      </c>
    </row>
    <row r="187" ht="22.5" customHeight="1">
      <c r="A187" s="7" t="s">
        <v>1261</v>
      </c>
      <c r="B187" s="8" t="s">
        <v>1262</v>
      </c>
      <c r="C187" s="9" t="s">
        <v>236</v>
      </c>
      <c r="D187" s="9" t="s">
        <v>31</v>
      </c>
      <c r="E187" s="15" t="s">
        <v>1135</v>
      </c>
      <c r="F187" s="7" t="s">
        <v>1263</v>
      </c>
      <c r="G187" s="8" t="s">
        <v>1264</v>
      </c>
      <c r="H187" s="8" t="s">
        <v>1265</v>
      </c>
      <c r="I187" s="9" t="s">
        <v>26</v>
      </c>
      <c r="J187" s="9" t="s">
        <v>26</v>
      </c>
      <c r="K187" s="9" t="s">
        <v>26</v>
      </c>
      <c r="L187" s="28" t="s">
        <v>1115</v>
      </c>
      <c r="M187" s="15" t="s">
        <v>1116</v>
      </c>
      <c r="N187" s="7" t="s">
        <v>1117</v>
      </c>
      <c r="O187" s="10">
        <v>9.0</v>
      </c>
      <c r="P187" s="7" t="s">
        <v>1266</v>
      </c>
      <c r="Q187" s="7" t="s">
        <v>26</v>
      </c>
    </row>
    <row r="188" ht="22.5" customHeight="1">
      <c r="A188" s="7" t="s">
        <v>1267</v>
      </c>
      <c r="B188" s="8" t="s">
        <v>1268</v>
      </c>
      <c r="C188" s="9" t="s">
        <v>236</v>
      </c>
      <c r="D188" s="9" t="s">
        <v>31</v>
      </c>
      <c r="E188" s="15" t="s">
        <v>1135</v>
      </c>
      <c r="F188" s="7" t="s">
        <v>1269</v>
      </c>
      <c r="G188" s="8" t="s">
        <v>1270</v>
      </c>
      <c r="H188" s="8" t="s">
        <v>1271</v>
      </c>
      <c r="I188" s="9" t="s">
        <v>26</v>
      </c>
      <c r="J188" s="9" t="s">
        <v>26</v>
      </c>
      <c r="K188" s="9" t="s">
        <v>26</v>
      </c>
      <c r="L188" s="28" t="s">
        <v>1115</v>
      </c>
      <c r="M188" s="15" t="s">
        <v>1116</v>
      </c>
      <c r="N188" s="7" t="s">
        <v>1117</v>
      </c>
      <c r="O188" s="10">
        <v>10.0</v>
      </c>
      <c r="P188" s="7" t="s">
        <v>1272</v>
      </c>
      <c r="Q188" s="7" t="s">
        <v>26</v>
      </c>
    </row>
    <row r="189" ht="22.5" customHeight="1">
      <c r="A189" s="7" t="s">
        <v>1273</v>
      </c>
      <c r="B189" s="8" t="s">
        <v>1274</v>
      </c>
      <c r="C189" s="9" t="s">
        <v>236</v>
      </c>
      <c r="D189" s="9" t="s">
        <v>183</v>
      </c>
      <c r="E189" s="15" t="s">
        <v>1275</v>
      </c>
      <c r="F189" s="7" t="s">
        <v>1276</v>
      </c>
      <c r="G189" s="8" t="s">
        <v>1277</v>
      </c>
      <c r="H189" s="8" t="s">
        <v>1278</v>
      </c>
      <c r="I189" s="9" t="s">
        <v>26</v>
      </c>
      <c r="J189" s="9" t="s">
        <v>26</v>
      </c>
      <c r="K189" s="9" t="s">
        <v>26</v>
      </c>
      <c r="L189" s="28" t="s">
        <v>1115</v>
      </c>
      <c r="M189" s="15" t="s">
        <v>1116</v>
      </c>
      <c r="N189" s="7" t="s">
        <v>1117</v>
      </c>
      <c r="O189" s="10">
        <v>10.0</v>
      </c>
      <c r="P189" s="7" t="s">
        <v>1279</v>
      </c>
      <c r="Q189" s="7" t="s">
        <v>26</v>
      </c>
    </row>
    <row r="190" ht="22.5" customHeight="1">
      <c r="A190" s="7" t="s">
        <v>1280</v>
      </c>
      <c r="B190" s="8" t="s">
        <v>1281</v>
      </c>
      <c r="C190" s="9" t="s">
        <v>236</v>
      </c>
      <c r="D190" s="9" t="s">
        <v>31</v>
      </c>
      <c r="E190" s="15" t="s">
        <v>1135</v>
      </c>
      <c r="F190" s="7" t="s">
        <v>1282</v>
      </c>
      <c r="G190" s="8" t="s">
        <v>1283</v>
      </c>
      <c r="H190" s="8" t="s">
        <v>1284</v>
      </c>
      <c r="I190" s="9" t="s">
        <v>26</v>
      </c>
      <c r="J190" s="9" t="s">
        <v>26</v>
      </c>
      <c r="K190" s="9" t="s">
        <v>26</v>
      </c>
      <c r="L190" s="28" t="s">
        <v>1115</v>
      </c>
      <c r="M190" s="15" t="s">
        <v>1116</v>
      </c>
      <c r="N190" s="7" t="s">
        <v>1117</v>
      </c>
      <c r="O190" s="10">
        <v>11.0</v>
      </c>
      <c r="P190" s="7" t="s">
        <v>1285</v>
      </c>
      <c r="Q190" s="7" t="s">
        <v>26</v>
      </c>
    </row>
    <row r="191" ht="22.5" customHeight="1">
      <c r="A191" s="7" t="s">
        <v>1286</v>
      </c>
      <c r="B191" s="8" t="s">
        <v>1287</v>
      </c>
      <c r="C191" s="9" t="s">
        <v>236</v>
      </c>
      <c r="D191" s="9" t="s">
        <v>31</v>
      </c>
      <c r="E191" s="15" t="s">
        <v>1135</v>
      </c>
      <c r="F191" s="7" t="s">
        <v>1288</v>
      </c>
      <c r="G191" s="8" t="s">
        <v>1289</v>
      </c>
      <c r="H191" s="8" t="s">
        <v>1290</v>
      </c>
      <c r="I191" s="9" t="s">
        <v>26</v>
      </c>
      <c r="J191" s="9" t="s">
        <v>26</v>
      </c>
      <c r="K191" s="9" t="s">
        <v>26</v>
      </c>
      <c r="L191" s="28" t="s">
        <v>1115</v>
      </c>
      <c r="M191" s="15" t="s">
        <v>1116</v>
      </c>
      <c r="N191" s="7" t="s">
        <v>1117</v>
      </c>
      <c r="O191" s="10">
        <v>11.0</v>
      </c>
      <c r="P191" s="7" t="s">
        <v>1291</v>
      </c>
      <c r="Q191" s="7" t="s">
        <v>26</v>
      </c>
    </row>
    <row r="192" ht="22.5" customHeight="1">
      <c r="A192" s="30" t="str">
        <f>IFERROR(__xludf.DUMMYFUNCTION("AI(""Fill an appropriate value for this cell based on the table context"")"),"NCRMI-001")</f>
        <v>NCRMI-001</v>
      </c>
      <c r="B192" s="8" t="s">
        <v>1292</v>
      </c>
      <c r="C192" s="9" t="s">
        <v>1293</v>
      </c>
      <c r="D192" s="9" t="s">
        <v>183</v>
      </c>
      <c r="E192" s="15" t="s">
        <v>1294</v>
      </c>
      <c r="F192" s="7" t="s">
        <v>1295</v>
      </c>
      <c r="G192" s="8" t="s">
        <v>1296</v>
      </c>
      <c r="H192" s="8" t="s">
        <v>1297</v>
      </c>
      <c r="I192" s="9" t="s">
        <v>26</v>
      </c>
      <c r="J192" s="9" t="s">
        <v>26</v>
      </c>
      <c r="K192" s="9" t="s">
        <v>26</v>
      </c>
      <c r="L192" s="28" t="s">
        <v>26</v>
      </c>
      <c r="M192" s="15" t="s">
        <v>1298</v>
      </c>
      <c r="N192" s="7" t="s">
        <v>1299</v>
      </c>
      <c r="O192" s="10">
        <v>5.0</v>
      </c>
      <c r="P192" s="7" t="s">
        <v>1300</v>
      </c>
      <c r="Q192" s="7" t="s">
        <v>26</v>
      </c>
    </row>
    <row r="193" ht="22.5" customHeight="1">
      <c r="A193" s="30" t="str">
        <f>IFERROR(__xludf.DUMMYFUNCTION("AI(""Fill an appropriate value for this cell based on the table context"")"),"NCRMI-002")</f>
        <v>NCRMI-002</v>
      </c>
      <c r="B193" s="8" t="s">
        <v>1301</v>
      </c>
      <c r="C193" s="9" t="s">
        <v>1293</v>
      </c>
      <c r="D193" s="9" t="s">
        <v>252</v>
      </c>
      <c r="E193" s="15" t="s">
        <v>1302</v>
      </c>
      <c r="F193" s="7" t="s">
        <v>1303</v>
      </c>
      <c r="G193" s="8" t="s">
        <v>1304</v>
      </c>
      <c r="H193" s="8" t="s">
        <v>1305</v>
      </c>
      <c r="I193" s="9" t="s">
        <v>26</v>
      </c>
      <c r="J193" s="9" t="s">
        <v>26</v>
      </c>
      <c r="K193" s="9" t="s">
        <v>26</v>
      </c>
      <c r="L193" s="28" t="s">
        <v>26</v>
      </c>
      <c r="M193" s="15" t="s">
        <v>1298</v>
      </c>
      <c r="N193" s="7" t="s">
        <v>1299</v>
      </c>
      <c r="O193" s="10">
        <v>7.0</v>
      </c>
      <c r="P193" s="7" t="s">
        <v>1306</v>
      </c>
      <c r="Q193" s="7" t="s">
        <v>26</v>
      </c>
    </row>
    <row r="194" ht="22.5" customHeight="1">
      <c r="A194" s="7" t="s">
        <v>1307</v>
      </c>
      <c r="B194" s="8" t="s">
        <v>1308</v>
      </c>
      <c r="C194" s="9" t="s">
        <v>1293</v>
      </c>
      <c r="D194" s="9" t="s">
        <v>183</v>
      </c>
      <c r="E194" s="15" t="s">
        <v>1309</v>
      </c>
      <c r="F194" s="7" t="s">
        <v>1310</v>
      </c>
      <c r="G194" s="8" t="s">
        <v>1311</v>
      </c>
      <c r="H194" s="8" t="s">
        <v>1312</v>
      </c>
      <c r="I194" s="9" t="s">
        <v>26</v>
      </c>
      <c r="J194" s="9" t="s">
        <v>26</v>
      </c>
      <c r="K194" s="9" t="s">
        <v>26</v>
      </c>
      <c r="L194" s="28" t="s">
        <v>26</v>
      </c>
      <c r="M194" s="15" t="s">
        <v>1298</v>
      </c>
      <c r="N194" s="7" t="s">
        <v>1299</v>
      </c>
      <c r="O194" s="10">
        <v>3.0</v>
      </c>
      <c r="P194" s="7" t="s">
        <v>1313</v>
      </c>
      <c r="Q194" s="7" t="s">
        <v>26</v>
      </c>
    </row>
    <row r="195" ht="22.5" customHeight="1">
      <c r="A195" s="7" t="s">
        <v>1314</v>
      </c>
      <c r="B195" s="8" t="s">
        <v>1315</v>
      </c>
      <c r="C195" s="9" t="s">
        <v>19</v>
      </c>
      <c r="D195" s="9" t="s">
        <v>183</v>
      </c>
      <c r="E195" s="15" t="s">
        <v>1316</v>
      </c>
      <c r="F195" s="7" t="s">
        <v>1317</v>
      </c>
      <c r="G195" s="8" t="s">
        <v>1318</v>
      </c>
      <c r="H195" s="8" t="s">
        <v>1319</v>
      </c>
      <c r="I195" s="9" t="s">
        <v>26</v>
      </c>
      <c r="J195" s="9" t="s">
        <v>26</v>
      </c>
      <c r="K195" s="9" t="s">
        <v>26</v>
      </c>
      <c r="L195" s="28" t="s">
        <v>26</v>
      </c>
      <c r="M195" s="15" t="s">
        <v>26</v>
      </c>
      <c r="N195" s="7" t="s">
        <v>1320</v>
      </c>
      <c r="O195" s="10">
        <v>1.0</v>
      </c>
      <c r="P195" s="7" t="s">
        <v>1321</v>
      </c>
      <c r="Q195" s="7" t="s">
        <v>26</v>
      </c>
    </row>
    <row r="196" ht="22.5" customHeight="1">
      <c r="A196" s="7" t="s">
        <v>1322</v>
      </c>
      <c r="B196" s="8" t="s">
        <v>1323</v>
      </c>
      <c r="C196" s="9" t="s">
        <v>19</v>
      </c>
      <c r="D196" s="9" t="s">
        <v>183</v>
      </c>
      <c r="E196" s="15" t="s">
        <v>32</v>
      </c>
      <c r="F196" s="7" t="s">
        <v>1324</v>
      </c>
      <c r="G196" s="8" t="s">
        <v>1325</v>
      </c>
      <c r="H196" s="8" t="s">
        <v>1326</v>
      </c>
      <c r="I196" s="9" t="s">
        <v>26</v>
      </c>
      <c r="J196" s="9" t="s">
        <v>26</v>
      </c>
      <c r="K196" s="9" t="s">
        <v>26</v>
      </c>
      <c r="L196" s="28" t="s">
        <v>26</v>
      </c>
      <c r="M196" s="15" t="s">
        <v>26</v>
      </c>
      <c r="N196" s="7" t="s">
        <v>1320</v>
      </c>
      <c r="O196" s="10">
        <v>2.0</v>
      </c>
      <c r="P196" s="7" t="s">
        <v>1327</v>
      </c>
      <c r="Q196" s="7" t="s">
        <v>26</v>
      </c>
    </row>
    <row r="197" ht="22.5" customHeight="1">
      <c r="A197" s="7" t="s">
        <v>1328</v>
      </c>
      <c r="B197" s="8" t="s">
        <v>1329</v>
      </c>
      <c r="C197" s="9" t="s">
        <v>19</v>
      </c>
      <c r="D197" s="9" t="s">
        <v>183</v>
      </c>
      <c r="E197" s="15" t="s">
        <v>32</v>
      </c>
      <c r="F197" s="7" t="s">
        <v>1330</v>
      </c>
      <c r="G197" s="8" t="s">
        <v>1331</v>
      </c>
      <c r="H197" s="8" t="s">
        <v>1332</v>
      </c>
      <c r="I197" s="9" t="s">
        <v>26</v>
      </c>
      <c r="J197" s="9" t="s">
        <v>26</v>
      </c>
      <c r="K197" s="9" t="s">
        <v>26</v>
      </c>
      <c r="L197" s="28" t="s">
        <v>26</v>
      </c>
      <c r="M197" s="15" t="s">
        <v>26</v>
      </c>
      <c r="N197" s="7" t="s">
        <v>1320</v>
      </c>
      <c r="O197" s="10">
        <v>2.0</v>
      </c>
      <c r="P197" s="7" t="s">
        <v>1333</v>
      </c>
      <c r="Q197" s="7" t="s">
        <v>26</v>
      </c>
    </row>
    <row r="198" ht="22.5" customHeight="1">
      <c r="A198" s="7" t="s">
        <v>1334</v>
      </c>
      <c r="B198" s="8" t="s">
        <v>1335</v>
      </c>
      <c r="C198" s="9" t="s">
        <v>19</v>
      </c>
      <c r="D198" s="9" t="s">
        <v>183</v>
      </c>
      <c r="E198" s="15" t="s">
        <v>32</v>
      </c>
      <c r="F198" s="7" t="s">
        <v>1336</v>
      </c>
      <c r="G198" s="8" t="s">
        <v>1337</v>
      </c>
      <c r="H198" s="8" t="s">
        <v>1338</v>
      </c>
      <c r="I198" s="9" t="s">
        <v>26</v>
      </c>
      <c r="J198" s="9" t="s">
        <v>26</v>
      </c>
      <c r="K198" s="9" t="s">
        <v>26</v>
      </c>
      <c r="L198" s="28" t="s">
        <v>26</v>
      </c>
      <c r="M198" s="15" t="s">
        <v>26</v>
      </c>
      <c r="N198" s="7" t="s">
        <v>1320</v>
      </c>
      <c r="O198" s="10">
        <v>2.0</v>
      </c>
      <c r="P198" s="7" t="s">
        <v>1339</v>
      </c>
      <c r="Q198" s="7" t="s">
        <v>26</v>
      </c>
    </row>
    <row r="199" ht="22.5" customHeight="1">
      <c r="A199" s="7" t="s">
        <v>1340</v>
      </c>
      <c r="B199" s="8" t="s">
        <v>1341</v>
      </c>
      <c r="C199" s="9" t="s">
        <v>19</v>
      </c>
      <c r="D199" s="9" t="s">
        <v>183</v>
      </c>
      <c r="E199" s="15" t="s">
        <v>32</v>
      </c>
      <c r="F199" s="8" t="s">
        <v>1342</v>
      </c>
      <c r="G199" s="8" t="s">
        <v>1343</v>
      </c>
      <c r="H199" s="8" t="s">
        <v>1344</v>
      </c>
      <c r="I199" s="9" t="s">
        <v>26</v>
      </c>
      <c r="J199" s="9" t="s">
        <v>26</v>
      </c>
      <c r="K199" s="9" t="s">
        <v>26</v>
      </c>
      <c r="L199" s="28" t="s">
        <v>26</v>
      </c>
      <c r="M199" s="15" t="s">
        <v>26</v>
      </c>
      <c r="N199" s="7" t="s">
        <v>1320</v>
      </c>
      <c r="O199" s="10">
        <v>2.0</v>
      </c>
      <c r="P199" s="7" t="s">
        <v>1345</v>
      </c>
      <c r="Q199" s="29" t="s">
        <v>26</v>
      </c>
    </row>
    <row r="200" ht="22.5" customHeight="1">
      <c r="A200" s="7" t="s">
        <v>1346</v>
      </c>
      <c r="B200" s="8" t="s">
        <v>1347</v>
      </c>
      <c r="C200" s="9" t="s">
        <v>19</v>
      </c>
      <c r="D200" s="9" t="s">
        <v>75</v>
      </c>
      <c r="E200" s="15" t="s">
        <v>1348</v>
      </c>
      <c r="F200" s="7" t="s">
        <v>1349</v>
      </c>
      <c r="G200" s="8" t="s">
        <v>1350</v>
      </c>
      <c r="H200" s="8" t="s">
        <v>1351</v>
      </c>
      <c r="I200" s="9" t="s">
        <v>26</v>
      </c>
      <c r="J200" s="9" t="s">
        <v>26</v>
      </c>
      <c r="K200" s="9" t="s">
        <v>26</v>
      </c>
      <c r="L200" s="28" t="s">
        <v>26</v>
      </c>
      <c r="M200" s="15" t="s">
        <v>26</v>
      </c>
      <c r="N200" s="7" t="s">
        <v>1320</v>
      </c>
      <c r="O200" s="10">
        <v>2.0</v>
      </c>
      <c r="P200" s="7" t="s">
        <v>1352</v>
      </c>
      <c r="Q200" s="29" t="s">
        <v>26</v>
      </c>
    </row>
    <row r="201" ht="22.5" customHeight="1">
      <c r="A201" s="7" t="s">
        <v>1353</v>
      </c>
      <c r="B201" s="8" t="s">
        <v>1354</v>
      </c>
      <c r="C201" s="9" t="s">
        <v>19</v>
      </c>
      <c r="D201" s="9" t="s">
        <v>183</v>
      </c>
      <c r="E201" s="15" t="s">
        <v>32</v>
      </c>
      <c r="F201" s="7" t="s">
        <v>1342</v>
      </c>
      <c r="G201" s="8" t="s">
        <v>1355</v>
      </c>
      <c r="H201" s="8" t="s">
        <v>1356</v>
      </c>
      <c r="I201" s="9" t="s">
        <v>26</v>
      </c>
      <c r="J201" s="9" t="s">
        <v>26</v>
      </c>
      <c r="K201" s="9" t="s">
        <v>26</v>
      </c>
      <c r="L201" s="28" t="s">
        <v>26</v>
      </c>
      <c r="M201" s="15" t="s">
        <v>26</v>
      </c>
      <c r="N201" s="7" t="s">
        <v>1320</v>
      </c>
      <c r="O201" s="10">
        <v>2.0</v>
      </c>
      <c r="P201" s="7" t="s">
        <v>1357</v>
      </c>
      <c r="Q201" s="29" t="s">
        <v>26</v>
      </c>
    </row>
    <row r="202" ht="22.5" customHeight="1">
      <c r="A202" s="7" t="s">
        <v>1358</v>
      </c>
      <c r="B202" s="8" t="s">
        <v>1359</v>
      </c>
      <c r="C202" s="9" t="s">
        <v>19</v>
      </c>
      <c r="D202" s="9" t="s">
        <v>183</v>
      </c>
      <c r="E202" s="15" t="s">
        <v>1294</v>
      </c>
      <c r="F202" s="7" t="s">
        <v>1360</v>
      </c>
      <c r="G202" s="8" t="s">
        <v>1361</v>
      </c>
      <c r="H202" s="8" t="s">
        <v>1362</v>
      </c>
      <c r="I202" s="9" t="s">
        <v>26</v>
      </c>
      <c r="J202" s="9" t="s">
        <v>26</v>
      </c>
      <c r="K202" s="9" t="s">
        <v>26</v>
      </c>
      <c r="L202" s="28" t="s">
        <v>26</v>
      </c>
      <c r="M202" s="15" t="s">
        <v>26</v>
      </c>
      <c r="N202" s="7" t="s">
        <v>1320</v>
      </c>
      <c r="O202" s="10">
        <v>2.0</v>
      </c>
      <c r="P202" s="7" t="s">
        <v>1363</v>
      </c>
      <c r="Q202" s="29" t="s">
        <v>26</v>
      </c>
    </row>
    <row r="203" ht="22.5" customHeight="1">
      <c r="A203" s="7" t="s">
        <v>1364</v>
      </c>
      <c r="B203" s="8" t="s">
        <v>1365</v>
      </c>
      <c r="C203" s="9" t="s">
        <v>19</v>
      </c>
      <c r="D203" s="9" t="s">
        <v>183</v>
      </c>
      <c r="E203" s="15" t="s">
        <v>1128</v>
      </c>
      <c r="F203" s="7" t="s">
        <v>1366</v>
      </c>
      <c r="G203" s="8" t="s">
        <v>1367</v>
      </c>
      <c r="H203" s="8" t="s">
        <v>1368</v>
      </c>
      <c r="I203" s="9" t="s">
        <v>26</v>
      </c>
      <c r="J203" s="9" t="s">
        <v>26</v>
      </c>
      <c r="K203" s="9" t="s">
        <v>26</v>
      </c>
      <c r="L203" s="28" t="s">
        <v>26</v>
      </c>
      <c r="M203" s="15" t="s">
        <v>26</v>
      </c>
      <c r="N203" s="7" t="s">
        <v>1320</v>
      </c>
      <c r="O203" s="10">
        <v>2.0</v>
      </c>
      <c r="P203" s="7" t="s">
        <v>1369</v>
      </c>
      <c r="Q203" s="7" t="s">
        <v>26</v>
      </c>
    </row>
    <row r="204" ht="22.5" customHeight="1">
      <c r="A204" s="31" t="s">
        <v>1370</v>
      </c>
      <c r="B204" s="31" t="s">
        <v>1371</v>
      </c>
      <c r="C204" s="32" t="s">
        <v>1372</v>
      </c>
      <c r="D204" s="32" t="s">
        <v>183</v>
      </c>
      <c r="E204" s="31" t="s">
        <v>1373</v>
      </c>
      <c r="F204" s="31" t="s">
        <v>1374</v>
      </c>
      <c r="G204" s="31" t="s">
        <v>1375</v>
      </c>
      <c r="H204" s="31" t="s">
        <v>1376</v>
      </c>
      <c r="I204" s="32" t="s">
        <v>26</v>
      </c>
      <c r="J204" s="32" t="s">
        <v>26</v>
      </c>
      <c r="K204" s="32" t="s">
        <v>26</v>
      </c>
      <c r="L204" s="31" t="s">
        <v>1377</v>
      </c>
      <c r="M204" s="31" t="s">
        <v>1378</v>
      </c>
      <c r="N204" s="31" t="s">
        <v>1379</v>
      </c>
      <c r="O204" s="33">
        <f t="array" ref="O204:O273">SEQUENCE(70,1)</f>
        <v>1</v>
      </c>
      <c r="P204" s="31" t="s">
        <v>1380</v>
      </c>
      <c r="Q204" s="31" t="s">
        <v>26</v>
      </c>
    </row>
    <row r="205" ht="22.5" customHeight="1">
      <c r="A205" s="34" t="s">
        <v>1381</v>
      </c>
      <c r="B205" s="34" t="s">
        <v>1382</v>
      </c>
      <c r="C205" s="35" t="s">
        <v>1383</v>
      </c>
      <c r="D205" s="35" t="s">
        <v>183</v>
      </c>
      <c r="E205" s="36" t="s">
        <v>1121</v>
      </c>
      <c r="F205" s="34" t="s">
        <v>1384</v>
      </c>
      <c r="G205" s="34" t="s">
        <v>1385</v>
      </c>
      <c r="H205" s="34" t="s">
        <v>1386</v>
      </c>
      <c r="I205" s="35" t="s">
        <v>26</v>
      </c>
      <c r="J205" s="35" t="s">
        <v>26</v>
      </c>
      <c r="K205" s="35" t="s">
        <v>1387</v>
      </c>
      <c r="L205" s="36" t="s">
        <v>1388</v>
      </c>
      <c r="M205" s="36" t="s">
        <v>1389</v>
      </c>
      <c r="N205" s="34" t="s">
        <v>1390</v>
      </c>
      <c r="O205" s="37">
        <v>2.0</v>
      </c>
      <c r="P205" s="34" t="s">
        <v>1391</v>
      </c>
      <c r="Q205" s="34" t="s">
        <v>26</v>
      </c>
    </row>
    <row r="206" ht="22.5" customHeight="1">
      <c r="A206" s="31" t="s">
        <v>1392</v>
      </c>
      <c r="B206" s="31" t="s">
        <v>1393</v>
      </c>
      <c r="C206" s="32" t="s">
        <v>1372</v>
      </c>
      <c r="D206" s="32" t="s">
        <v>31</v>
      </c>
      <c r="E206" s="38" t="s">
        <v>1309</v>
      </c>
      <c r="F206" s="31" t="s">
        <v>1394</v>
      </c>
      <c r="G206" s="31" t="s">
        <v>1395</v>
      </c>
      <c r="H206" s="31" t="s">
        <v>1396</v>
      </c>
      <c r="I206" s="32" t="s">
        <v>26</v>
      </c>
      <c r="J206" s="32" t="s">
        <v>26</v>
      </c>
      <c r="K206" s="32" t="s">
        <v>26</v>
      </c>
      <c r="L206" s="38" t="s">
        <v>1397</v>
      </c>
      <c r="M206" s="38" t="s">
        <v>1378</v>
      </c>
      <c r="N206" s="31" t="s">
        <v>1390</v>
      </c>
      <c r="O206" s="33">
        <v>3.0</v>
      </c>
      <c r="P206" s="31" t="s">
        <v>1398</v>
      </c>
      <c r="Q206" s="31" t="s">
        <v>26</v>
      </c>
    </row>
    <row r="207" ht="22.5" customHeight="1">
      <c r="A207" s="31" t="s">
        <v>1399</v>
      </c>
      <c r="B207" s="31" t="s">
        <v>1400</v>
      </c>
      <c r="C207" s="32" t="s">
        <v>1383</v>
      </c>
      <c r="D207" s="32" t="s">
        <v>183</v>
      </c>
      <c r="E207" s="38" t="s">
        <v>1401</v>
      </c>
      <c r="F207" s="31" t="s">
        <v>1402</v>
      </c>
      <c r="G207" s="31" t="s">
        <v>1403</v>
      </c>
      <c r="H207" s="31" t="s">
        <v>1404</v>
      </c>
      <c r="I207" s="32" t="s">
        <v>26</v>
      </c>
      <c r="J207" s="32" t="s">
        <v>26</v>
      </c>
      <c r="K207" s="32" t="s">
        <v>26</v>
      </c>
      <c r="L207" s="38" t="s">
        <v>1405</v>
      </c>
      <c r="M207" s="38" t="s">
        <v>1406</v>
      </c>
      <c r="N207" s="31" t="s">
        <v>1390</v>
      </c>
      <c r="O207" s="33">
        <v>4.0</v>
      </c>
      <c r="P207" s="31" t="s">
        <v>1407</v>
      </c>
      <c r="Q207" s="31" t="s">
        <v>26</v>
      </c>
    </row>
    <row r="208" ht="22.5" customHeight="1">
      <c r="A208" s="31" t="s">
        <v>1408</v>
      </c>
      <c r="B208" s="31" t="s">
        <v>1409</v>
      </c>
      <c r="C208" s="32" t="s">
        <v>1410</v>
      </c>
      <c r="D208" s="32" t="s">
        <v>183</v>
      </c>
      <c r="E208" s="38" t="s">
        <v>1411</v>
      </c>
      <c r="F208" s="31" t="s">
        <v>1412</v>
      </c>
      <c r="G208" s="31" t="s">
        <v>1413</v>
      </c>
      <c r="H208" s="31" t="s">
        <v>1414</v>
      </c>
      <c r="I208" s="32" t="s">
        <v>26</v>
      </c>
      <c r="J208" s="32" t="s">
        <v>26</v>
      </c>
      <c r="K208" s="32" t="s">
        <v>26</v>
      </c>
      <c r="L208" s="38" t="s">
        <v>1415</v>
      </c>
      <c r="M208" s="38" t="s">
        <v>1416</v>
      </c>
      <c r="N208" s="31" t="s">
        <v>1390</v>
      </c>
      <c r="O208" s="33">
        <v>5.0</v>
      </c>
      <c r="P208" s="31" t="s">
        <v>1417</v>
      </c>
      <c r="Q208" s="31" t="s">
        <v>26</v>
      </c>
    </row>
    <row r="209" ht="22.5" customHeight="1">
      <c r="A209" s="31" t="s">
        <v>1418</v>
      </c>
      <c r="B209" s="31" t="s">
        <v>1419</v>
      </c>
      <c r="C209" s="32" t="s">
        <v>1420</v>
      </c>
      <c r="D209" s="32" t="s">
        <v>183</v>
      </c>
      <c r="E209" s="38" t="s">
        <v>1373</v>
      </c>
      <c r="F209" s="31" t="s">
        <v>1421</v>
      </c>
      <c r="G209" s="31" t="s">
        <v>1422</v>
      </c>
      <c r="H209" s="31" t="s">
        <v>1423</v>
      </c>
      <c r="I209" s="32" t="s">
        <v>26</v>
      </c>
      <c r="J209" s="32" t="s">
        <v>26</v>
      </c>
      <c r="K209" s="32" t="s">
        <v>26</v>
      </c>
      <c r="L209" s="38" t="s">
        <v>1424</v>
      </c>
      <c r="M209" s="38" t="s">
        <v>1425</v>
      </c>
      <c r="N209" s="31" t="s">
        <v>1390</v>
      </c>
      <c r="O209" s="33">
        <v>6.0</v>
      </c>
      <c r="P209" s="31" t="s">
        <v>1426</v>
      </c>
      <c r="Q209" s="31" t="s">
        <v>26</v>
      </c>
    </row>
    <row r="210" ht="22.5" customHeight="1">
      <c r="A210" s="31" t="s">
        <v>1427</v>
      </c>
      <c r="B210" s="31" t="s">
        <v>1428</v>
      </c>
      <c r="C210" s="32" t="s">
        <v>1372</v>
      </c>
      <c r="D210" s="32" t="s">
        <v>46</v>
      </c>
      <c r="E210" s="38" t="s">
        <v>1429</v>
      </c>
      <c r="F210" s="31" t="s">
        <v>1430</v>
      </c>
      <c r="G210" s="31" t="s">
        <v>1431</v>
      </c>
      <c r="H210" s="31" t="s">
        <v>1432</v>
      </c>
      <c r="I210" s="32" t="s">
        <v>26</v>
      </c>
      <c r="J210" s="32" t="s">
        <v>26</v>
      </c>
      <c r="K210" s="32" t="s">
        <v>26</v>
      </c>
      <c r="L210" s="38" t="s">
        <v>1433</v>
      </c>
      <c r="M210" s="38" t="s">
        <v>1434</v>
      </c>
      <c r="N210" s="31" t="s">
        <v>1390</v>
      </c>
      <c r="O210" s="33">
        <v>7.0</v>
      </c>
      <c r="P210" s="31" t="s">
        <v>1435</v>
      </c>
      <c r="Q210" s="31" t="s">
        <v>26</v>
      </c>
    </row>
    <row r="211" ht="22.5" customHeight="1">
      <c r="A211" s="31" t="s">
        <v>1436</v>
      </c>
      <c r="B211" s="31" t="s">
        <v>1437</v>
      </c>
      <c r="C211" s="32" t="s">
        <v>1410</v>
      </c>
      <c r="D211" s="32" t="s">
        <v>46</v>
      </c>
      <c r="E211" s="38" t="s">
        <v>1438</v>
      </c>
      <c r="F211" s="31" t="s">
        <v>1439</v>
      </c>
      <c r="G211" s="31" t="s">
        <v>1440</v>
      </c>
      <c r="H211" s="31" t="s">
        <v>1441</v>
      </c>
      <c r="I211" s="32" t="s">
        <v>26</v>
      </c>
      <c r="J211" s="32" t="s">
        <v>26</v>
      </c>
      <c r="K211" s="32" t="s">
        <v>26</v>
      </c>
      <c r="L211" s="38" t="s">
        <v>1442</v>
      </c>
      <c r="M211" s="38" t="s">
        <v>1443</v>
      </c>
      <c r="N211" s="31" t="s">
        <v>1390</v>
      </c>
      <c r="O211" s="33">
        <v>8.0</v>
      </c>
      <c r="P211" s="31" t="s">
        <v>1444</v>
      </c>
      <c r="Q211" s="31" t="s">
        <v>26</v>
      </c>
    </row>
    <row r="212" ht="22.5" customHeight="1">
      <c r="A212" s="31" t="s">
        <v>1445</v>
      </c>
      <c r="B212" s="31" t="s">
        <v>1446</v>
      </c>
      <c r="C212" s="32" t="s">
        <v>1410</v>
      </c>
      <c r="D212" s="32" t="s">
        <v>46</v>
      </c>
      <c r="E212" s="38" t="s">
        <v>1121</v>
      </c>
      <c r="F212" s="31" t="s">
        <v>1447</v>
      </c>
      <c r="G212" s="31" t="s">
        <v>1448</v>
      </c>
      <c r="H212" s="31" t="s">
        <v>1449</v>
      </c>
      <c r="I212" s="32" t="s">
        <v>25</v>
      </c>
      <c r="J212" s="32" t="s">
        <v>26</v>
      </c>
      <c r="K212" s="32" t="s">
        <v>26</v>
      </c>
      <c r="L212" s="38" t="s">
        <v>1450</v>
      </c>
      <c r="M212" s="38" t="s">
        <v>1416</v>
      </c>
      <c r="N212" s="31" t="s">
        <v>1390</v>
      </c>
      <c r="O212" s="33">
        <v>9.0</v>
      </c>
      <c r="P212" s="31" t="s">
        <v>1451</v>
      </c>
      <c r="Q212" s="31" t="s">
        <v>26</v>
      </c>
    </row>
    <row r="213" ht="22.5" customHeight="1">
      <c r="A213" s="31" t="s">
        <v>1452</v>
      </c>
      <c r="B213" s="31" t="s">
        <v>1453</v>
      </c>
      <c r="C213" s="32" t="s">
        <v>1383</v>
      </c>
      <c r="D213" s="32" t="s">
        <v>46</v>
      </c>
      <c r="E213" s="38" t="s">
        <v>1454</v>
      </c>
      <c r="F213" s="31" t="s">
        <v>1455</v>
      </c>
      <c r="G213" s="31" t="s">
        <v>1456</v>
      </c>
      <c r="H213" s="31" t="s">
        <v>1457</v>
      </c>
      <c r="I213" s="32" t="s">
        <v>26</v>
      </c>
      <c r="J213" s="32" t="s">
        <v>26</v>
      </c>
      <c r="K213" s="32" t="s">
        <v>26</v>
      </c>
      <c r="L213" s="38" t="s">
        <v>1458</v>
      </c>
      <c r="M213" s="38" t="s">
        <v>1459</v>
      </c>
      <c r="N213" s="31" t="s">
        <v>1390</v>
      </c>
      <c r="O213" s="33">
        <v>10.0</v>
      </c>
      <c r="P213" s="31" t="s">
        <v>1460</v>
      </c>
      <c r="Q213" s="31" t="s">
        <v>26</v>
      </c>
    </row>
    <row r="214" ht="22.5" customHeight="1">
      <c r="A214" s="31" t="s">
        <v>1461</v>
      </c>
      <c r="B214" s="31" t="s">
        <v>1462</v>
      </c>
      <c r="C214" s="32" t="s">
        <v>1383</v>
      </c>
      <c r="D214" s="32" t="s">
        <v>46</v>
      </c>
      <c r="E214" s="38" t="s">
        <v>1309</v>
      </c>
      <c r="F214" s="31" t="s">
        <v>1463</v>
      </c>
      <c r="G214" s="31" t="s">
        <v>1464</v>
      </c>
      <c r="H214" s="31" t="s">
        <v>1465</v>
      </c>
      <c r="I214" s="32" t="s">
        <v>26</v>
      </c>
      <c r="J214" s="32" t="s">
        <v>26</v>
      </c>
      <c r="K214" s="32" t="s">
        <v>26</v>
      </c>
      <c r="L214" s="38" t="s">
        <v>1466</v>
      </c>
      <c r="M214" s="38" t="s">
        <v>1467</v>
      </c>
      <c r="N214" s="31" t="s">
        <v>1390</v>
      </c>
      <c r="O214" s="33">
        <v>11.0</v>
      </c>
      <c r="P214" s="31" t="s">
        <v>1468</v>
      </c>
      <c r="Q214" s="31" t="s">
        <v>26</v>
      </c>
    </row>
    <row r="215" ht="22.5" customHeight="1">
      <c r="A215" s="31" t="s">
        <v>1469</v>
      </c>
      <c r="B215" s="31" t="s">
        <v>1470</v>
      </c>
      <c r="C215" s="32" t="s">
        <v>1383</v>
      </c>
      <c r="D215" s="32" t="s">
        <v>568</v>
      </c>
      <c r="E215" s="38" t="s">
        <v>1471</v>
      </c>
      <c r="F215" s="31" t="s">
        <v>1472</v>
      </c>
      <c r="G215" s="31" t="s">
        <v>1473</v>
      </c>
      <c r="H215" s="31" t="s">
        <v>1474</v>
      </c>
      <c r="I215" s="32" t="s">
        <v>51</v>
      </c>
      <c r="J215" s="32" t="s">
        <v>26</v>
      </c>
      <c r="K215" s="32" t="s">
        <v>26</v>
      </c>
      <c r="L215" s="38" t="s">
        <v>1475</v>
      </c>
      <c r="M215" s="38" t="s">
        <v>1476</v>
      </c>
      <c r="N215" s="31" t="s">
        <v>1390</v>
      </c>
      <c r="O215" s="33">
        <v>12.0</v>
      </c>
      <c r="P215" s="31" t="s">
        <v>1477</v>
      </c>
      <c r="Q215" s="31" t="s">
        <v>26</v>
      </c>
    </row>
    <row r="216" ht="22.5" customHeight="1">
      <c r="A216" s="31" t="s">
        <v>1478</v>
      </c>
      <c r="B216" s="31" t="s">
        <v>1479</v>
      </c>
      <c r="C216" s="32" t="s">
        <v>1383</v>
      </c>
      <c r="D216" s="32" t="s">
        <v>46</v>
      </c>
      <c r="E216" s="38" t="s">
        <v>1480</v>
      </c>
      <c r="F216" s="31" t="s">
        <v>1481</v>
      </c>
      <c r="G216" s="31" t="s">
        <v>1482</v>
      </c>
      <c r="H216" s="31" t="s">
        <v>1483</v>
      </c>
      <c r="I216" s="32" t="s">
        <v>26</v>
      </c>
      <c r="J216" s="32" t="s">
        <v>26</v>
      </c>
      <c r="K216" s="32" t="s">
        <v>26</v>
      </c>
      <c r="L216" s="38" t="s">
        <v>1484</v>
      </c>
      <c r="M216" s="38" t="s">
        <v>1485</v>
      </c>
      <c r="N216" s="31" t="s">
        <v>1390</v>
      </c>
      <c r="O216" s="33">
        <v>13.0</v>
      </c>
      <c r="P216" s="31" t="s">
        <v>1486</v>
      </c>
      <c r="Q216" s="31" t="s">
        <v>26</v>
      </c>
    </row>
    <row r="217" ht="22.5" customHeight="1">
      <c r="A217" s="31" t="s">
        <v>1487</v>
      </c>
      <c r="B217" s="31" t="s">
        <v>1488</v>
      </c>
      <c r="C217" s="32" t="s">
        <v>1410</v>
      </c>
      <c r="D217" s="32" t="s">
        <v>46</v>
      </c>
      <c r="E217" s="38" t="s">
        <v>1489</v>
      </c>
      <c r="F217" s="31" t="s">
        <v>1490</v>
      </c>
      <c r="G217" s="31" t="s">
        <v>1491</v>
      </c>
      <c r="H217" s="31" t="s">
        <v>1492</v>
      </c>
      <c r="I217" s="32" t="s">
        <v>26</v>
      </c>
      <c r="J217" s="32" t="s">
        <v>26</v>
      </c>
      <c r="K217" s="32" t="s">
        <v>1387</v>
      </c>
      <c r="L217" s="38" t="s">
        <v>1493</v>
      </c>
      <c r="M217" s="38" t="s">
        <v>1494</v>
      </c>
      <c r="N217" s="31" t="s">
        <v>1390</v>
      </c>
      <c r="O217" s="33">
        <v>14.0</v>
      </c>
      <c r="P217" s="31" t="s">
        <v>1495</v>
      </c>
      <c r="Q217" s="31" t="s">
        <v>26</v>
      </c>
    </row>
    <row r="218" ht="22.5" customHeight="1">
      <c r="A218" s="31" t="s">
        <v>1496</v>
      </c>
      <c r="B218" s="31" t="s">
        <v>1497</v>
      </c>
      <c r="C218" s="32" t="s">
        <v>1410</v>
      </c>
      <c r="D218" s="32" t="s">
        <v>46</v>
      </c>
      <c r="E218" s="38" t="s">
        <v>1498</v>
      </c>
      <c r="F218" s="31" t="s">
        <v>1499</v>
      </c>
      <c r="G218" s="31" t="s">
        <v>1500</v>
      </c>
      <c r="H218" s="31" t="s">
        <v>1501</v>
      </c>
      <c r="I218" s="32" t="s">
        <v>26</v>
      </c>
      <c r="J218" s="32" t="s">
        <v>26</v>
      </c>
      <c r="K218" s="32" t="s">
        <v>26</v>
      </c>
      <c r="L218" s="38" t="s">
        <v>1502</v>
      </c>
      <c r="M218" s="38" t="s">
        <v>1503</v>
      </c>
      <c r="N218" s="31" t="s">
        <v>1390</v>
      </c>
      <c r="O218" s="33">
        <v>15.0</v>
      </c>
      <c r="P218" s="31" t="s">
        <v>1504</v>
      </c>
      <c r="Q218" s="31" t="s">
        <v>26</v>
      </c>
    </row>
    <row r="219" ht="22.5" customHeight="1">
      <c r="A219" s="31" t="s">
        <v>1505</v>
      </c>
      <c r="B219" s="31" t="s">
        <v>1506</v>
      </c>
      <c r="C219" s="32" t="s">
        <v>1507</v>
      </c>
      <c r="D219" s="32" t="s">
        <v>252</v>
      </c>
      <c r="E219" s="38" t="s">
        <v>1508</v>
      </c>
      <c r="F219" s="31" t="s">
        <v>1509</v>
      </c>
      <c r="G219" s="31" t="s">
        <v>1510</v>
      </c>
      <c r="H219" s="31" t="s">
        <v>1511</v>
      </c>
      <c r="I219" s="32" t="s">
        <v>26</v>
      </c>
      <c r="J219" s="32" t="s">
        <v>26</v>
      </c>
      <c r="K219" s="32" t="s">
        <v>26</v>
      </c>
      <c r="L219" s="38" t="s">
        <v>1512</v>
      </c>
      <c r="M219" s="38" t="s">
        <v>1513</v>
      </c>
      <c r="N219" s="31" t="s">
        <v>1390</v>
      </c>
      <c r="O219" s="33">
        <v>16.0</v>
      </c>
      <c r="P219" s="31" t="s">
        <v>1514</v>
      </c>
      <c r="Q219" s="31" t="s">
        <v>26</v>
      </c>
    </row>
    <row r="220" ht="22.5" customHeight="1">
      <c r="A220" s="31" t="s">
        <v>1515</v>
      </c>
      <c r="B220" s="31" t="s">
        <v>1516</v>
      </c>
      <c r="C220" s="32" t="s">
        <v>1410</v>
      </c>
      <c r="D220" s="32" t="s">
        <v>46</v>
      </c>
      <c r="E220" s="38" t="s">
        <v>1489</v>
      </c>
      <c r="F220" s="31" t="s">
        <v>1517</v>
      </c>
      <c r="G220" s="31" t="s">
        <v>1518</v>
      </c>
      <c r="H220" s="31" t="s">
        <v>1519</v>
      </c>
      <c r="I220" s="32" t="s">
        <v>26</v>
      </c>
      <c r="J220" s="32" t="s">
        <v>26</v>
      </c>
      <c r="K220" s="32" t="s">
        <v>26</v>
      </c>
      <c r="L220" s="38" t="s">
        <v>1520</v>
      </c>
      <c r="M220" s="38" t="s">
        <v>1521</v>
      </c>
      <c r="N220" s="31" t="s">
        <v>1390</v>
      </c>
      <c r="O220" s="33">
        <v>17.0</v>
      </c>
      <c r="P220" s="31" t="s">
        <v>1522</v>
      </c>
      <c r="Q220" s="31" t="s">
        <v>26</v>
      </c>
    </row>
    <row r="221" ht="22.5" customHeight="1">
      <c r="A221" s="31" t="s">
        <v>1523</v>
      </c>
      <c r="B221" s="31" t="s">
        <v>1524</v>
      </c>
      <c r="C221" s="32" t="s">
        <v>1525</v>
      </c>
      <c r="D221" s="32" t="s">
        <v>46</v>
      </c>
      <c r="E221" s="38" t="s">
        <v>1526</v>
      </c>
      <c r="F221" s="31" t="s">
        <v>1527</v>
      </c>
      <c r="G221" s="31" t="s">
        <v>1528</v>
      </c>
      <c r="H221" s="31" t="s">
        <v>1529</v>
      </c>
      <c r="I221" s="32" t="s">
        <v>26</v>
      </c>
      <c r="J221" s="32" t="s">
        <v>26</v>
      </c>
      <c r="K221" s="32" t="s">
        <v>26</v>
      </c>
      <c r="L221" s="38" t="s">
        <v>1530</v>
      </c>
      <c r="M221" s="38" t="s">
        <v>1531</v>
      </c>
      <c r="N221" s="31" t="s">
        <v>1390</v>
      </c>
      <c r="O221" s="33">
        <v>18.0</v>
      </c>
      <c r="P221" s="31" t="s">
        <v>1532</v>
      </c>
      <c r="Q221" s="31" t="s">
        <v>26</v>
      </c>
    </row>
    <row r="222" ht="22.5" customHeight="1">
      <c r="A222" s="31" t="s">
        <v>1533</v>
      </c>
      <c r="B222" s="31" t="s">
        <v>1534</v>
      </c>
      <c r="C222" s="32" t="s">
        <v>1525</v>
      </c>
      <c r="D222" s="32" t="s">
        <v>46</v>
      </c>
      <c r="E222" s="38" t="s">
        <v>1535</v>
      </c>
      <c r="F222" s="31" t="s">
        <v>1536</v>
      </c>
      <c r="G222" s="31" t="s">
        <v>1537</v>
      </c>
      <c r="H222" s="31" t="s">
        <v>1538</v>
      </c>
      <c r="I222" s="32" t="s">
        <v>26</v>
      </c>
      <c r="J222" s="32" t="s">
        <v>26</v>
      </c>
      <c r="K222" s="32" t="s">
        <v>26</v>
      </c>
      <c r="L222" s="38" t="s">
        <v>1530</v>
      </c>
      <c r="M222" s="38" t="s">
        <v>1531</v>
      </c>
      <c r="N222" s="31" t="s">
        <v>1390</v>
      </c>
      <c r="O222" s="33">
        <v>19.0</v>
      </c>
      <c r="P222" s="31" t="s">
        <v>1539</v>
      </c>
      <c r="Q222" s="31" t="s">
        <v>26</v>
      </c>
    </row>
    <row r="223" ht="22.5" customHeight="1">
      <c r="A223" s="31" t="s">
        <v>1540</v>
      </c>
      <c r="B223" s="31" t="s">
        <v>1541</v>
      </c>
      <c r="C223" s="32" t="s">
        <v>1410</v>
      </c>
      <c r="D223" s="32" t="s">
        <v>46</v>
      </c>
      <c r="E223" s="38" t="s">
        <v>1498</v>
      </c>
      <c r="F223" s="31" t="s">
        <v>1542</v>
      </c>
      <c r="G223" s="31" t="s">
        <v>1543</v>
      </c>
      <c r="H223" s="31" t="s">
        <v>1544</v>
      </c>
      <c r="I223" s="32" t="s">
        <v>26</v>
      </c>
      <c r="J223" s="32" t="s">
        <v>26</v>
      </c>
      <c r="K223" s="32" t="s">
        <v>26</v>
      </c>
      <c r="L223" s="38" t="s">
        <v>1545</v>
      </c>
      <c r="M223" s="38" t="s">
        <v>1546</v>
      </c>
      <c r="N223" s="31" t="s">
        <v>1390</v>
      </c>
      <c r="O223" s="33">
        <v>20.0</v>
      </c>
      <c r="P223" s="31" t="s">
        <v>1547</v>
      </c>
      <c r="Q223" s="31" t="s">
        <v>26</v>
      </c>
    </row>
    <row r="224" ht="22.5" customHeight="1">
      <c r="A224" s="31" t="s">
        <v>1548</v>
      </c>
      <c r="B224" s="31" t="s">
        <v>1549</v>
      </c>
      <c r="C224" s="32" t="s">
        <v>1420</v>
      </c>
      <c r="D224" s="32" t="s">
        <v>75</v>
      </c>
      <c r="E224" s="38" t="s">
        <v>1550</v>
      </c>
      <c r="F224" s="31" t="s">
        <v>1551</v>
      </c>
      <c r="G224" s="31" t="s">
        <v>1552</v>
      </c>
      <c r="H224" s="31" t="s">
        <v>1553</v>
      </c>
      <c r="I224" s="32" t="s">
        <v>25</v>
      </c>
      <c r="J224" s="32" t="s">
        <v>26</v>
      </c>
      <c r="K224" s="32" t="s">
        <v>26</v>
      </c>
      <c r="L224" s="38" t="s">
        <v>1554</v>
      </c>
      <c r="M224" s="38" t="s">
        <v>1555</v>
      </c>
      <c r="N224" s="31" t="s">
        <v>1390</v>
      </c>
      <c r="O224" s="33">
        <v>21.0</v>
      </c>
      <c r="P224" s="31" t="s">
        <v>1556</v>
      </c>
      <c r="Q224" s="31" t="s">
        <v>26</v>
      </c>
    </row>
    <row r="225" ht="22.5" customHeight="1">
      <c r="A225" s="31" t="s">
        <v>1557</v>
      </c>
      <c r="B225" s="31" t="s">
        <v>1558</v>
      </c>
      <c r="C225" s="32" t="s">
        <v>1383</v>
      </c>
      <c r="D225" s="32" t="s">
        <v>31</v>
      </c>
      <c r="E225" s="38" t="s">
        <v>1559</v>
      </c>
      <c r="F225" s="31" t="s">
        <v>1560</v>
      </c>
      <c r="G225" s="31" t="s">
        <v>1561</v>
      </c>
      <c r="H225" s="31" t="s">
        <v>1562</v>
      </c>
      <c r="I225" s="32" t="s">
        <v>26</v>
      </c>
      <c r="J225" s="32" t="s">
        <v>26</v>
      </c>
      <c r="K225" s="32" t="s">
        <v>26</v>
      </c>
      <c r="L225" s="38" t="s">
        <v>1563</v>
      </c>
      <c r="M225" s="38" t="s">
        <v>1564</v>
      </c>
      <c r="N225" s="31" t="s">
        <v>1390</v>
      </c>
      <c r="O225" s="33">
        <v>22.0</v>
      </c>
      <c r="P225" s="31" t="s">
        <v>1565</v>
      </c>
      <c r="Q225" s="31" t="s">
        <v>26</v>
      </c>
    </row>
    <row r="226" ht="22.5" customHeight="1">
      <c r="A226" s="31" t="s">
        <v>1566</v>
      </c>
      <c r="B226" s="31" t="s">
        <v>1567</v>
      </c>
      <c r="C226" s="32" t="s">
        <v>1525</v>
      </c>
      <c r="D226" s="32" t="s">
        <v>31</v>
      </c>
      <c r="E226" s="38" t="s">
        <v>1559</v>
      </c>
      <c r="F226" s="31" t="s">
        <v>1568</v>
      </c>
      <c r="G226" s="31" t="s">
        <v>1569</v>
      </c>
      <c r="H226" s="31" t="s">
        <v>1570</v>
      </c>
      <c r="I226" s="32" t="s">
        <v>26</v>
      </c>
      <c r="J226" s="32" t="s">
        <v>26</v>
      </c>
      <c r="K226" s="32" t="s">
        <v>26</v>
      </c>
      <c r="L226" s="38" t="s">
        <v>1571</v>
      </c>
      <c r="M226" s="38" t="s">
        <v>1572</v>
      </c>
      <c r="N226" s="31" t="s">
        <v>1390</v>
      </c>
      <c r="O226" s="33">
        <v>23.0</v>
      </c>
      <c r="P226" s="31" t="s">
        <v>1573</v>
      </c>
      <c r="Q226" s="31" t="s">
        <v>26</v>
      </c>
    </row>
    <row r="227" ht="22.5" customHeight="1">
      <c r="A227" s="31" t="s">
        <v>1574</v>
      </c>
      <c r="B227" s="31" t="s">
        <v>1575</v>
      </c>
      <c r="C227" s="32" t="s">
        <v>1576</v>
      </c>
      <c r="D227" s="32" t="s">
        <v>31</v>
      </c>
      <c r="E227" s="38" t="s">
        <v>1480</v>
      </c>
      <c r="F227" s="31" t="s">
        <v>1577</v>
      </c>
      <c r="G227" s="31" t="s">
        <v>1578</v>
      </c>
      <c r="H227" s="31" t="s">
        <v>1579</v>
      </c>
      <c r="I227" s="32" t="s">
        <v>26</v>
      </c>
      <c r="J227" s="32" t="s">
        <v>26</v>
      </c>
      <c r="K227" s="32" t="s">
        <v>26</v>
      </c>
      <c r="L227" s="38" t="s">
        <v>1580</v>
      </c>
      <c r="M227" s="38" t="s">
        <v>1581</v>
      </c>
      <c r="N227" s="31" t="s">
        <v>1390</v>
      </c>
      <c r="O227" s="33">
        <v>24.0</v>
      </c>
      <c r="P227" s="31" t="s">
        <v>1582</v>
      </c>
      <c r="Q227" s="31" t="s">
        <v>26</v>
      </c>
    </row>
    <row r="228" ht="22.5" customHeight="1">
      <c r="A228" s="31" t="s">
        <v>1583</v>
      </c>
      <c r="B228" s="31" t="s">
        <v>1584</v>
      </c>
      <c r="C228" s="32" t="s">
        <v>1585</v>
      </c>
      <c r="D228" s="32" t="s">
        <v>31</v>
      </c>
      <c r="E228" s="38" t="s">
        <v>1550</v>
      </c>
      <c r="F228" s="31" t="s">
        <v>1586</v>
      </c>
      <c r="G228" s="31" t="s">
        <v>1587</v>
      </c>
      <c r="H228" s="31" t="s">
        <v>1588</v>
      </c>
      <c r="I228" s="32" t="s">
        <v>26</v>
      </c>
      <c r="J228" s="32" t="s">
        <v>26</v>
      </c>
      <c r="K228" s="32" t="s">
        <v>26</v>
      </c>
      <c r="L228" s="38" t="s">
        <v>1589</v>
      </c>
      <c r="M228" s="38" t="s">
        <v>1581</v>
      </c>
      <c r="N228" s="31" t="s">
        <v>1390</v>
      </c>
      <c r="O228" s="33">
        <v>25.0</v>
      </c>
      <c r="P228" s="31" t="s">
        <v>1590</v>
      </c>
      <c r="Q228" s="31" t="s">
        <v>26</v>
      </c>
    </row>
    <row r="229" ht="22.5" customHeight="1">
      <c r="A229" s="31" t="s">
        <v>1370</v>
      </c>
      <c r="B229" s="31" t="s">
        <v>1591</v>
      </c>
      <c r="C229" s="32" t="s">
        <v>1372</v>
      </c>
      <c r="D229" s="32" t="s">
        <v>213</v>
      </c>
      <c r="E229" s="38" t="s">
        <v>1550</v>
      </c>
      <c r="F229" s="31" t="s">
        <v>1592</v>
      </c>
      <c r="G229" s="31" t="s">
        <v>1593</v>
      </c>
      <c r="H229" s="31" t="s">
        <v>1594</v>
      </c>
      <c r="I229" s="32" t="s">
        <v>25</v>
      </c>
      <c r="J229" s="32" t="s">
        <v>1595</v>
      </c>
      <c r="K229" s="32" t="s">
        <v>26</v>
      </c>
      <c r="L229" s="38" t="s">
        <v>1433</v>
      </c>
      <c r="M229" s="38" t="s">
        <v>1434</v>
      </c>
      <c r="N229" s="31" t="s">
        <v>1390</v>
      </c>
      <c r="O229" s="33">
        <v>26.0</v>
      </c>
      <c r="P229" s="31" t="s">
        <v>1596</v>
      </c>
      <c r="Q229" s="31" t="s">
        <v>26</v>
      </c>
    </row>
    <row r="230" ht="22.5" customHeight="1">
      <c r="A230" s="31" t="s">
        <v>1597</v>
      </c>
      <c r="B230" s="31" t="s">
        <v>1598</v>
      </c>
      <c r="C230" s="32" t="s">
        <v>1599</v>
      </c>
      <c r="D230" s="32" t="s">
        <v>75</v>
      </c>
      <c r="E230" s="38" t="s">
        <v>1600</v>
      </c>
      <c r="F230" s="31" t="s">
        <v>1601</v>
      </c>
      <c r="G230" s="31" t="s">
        <v>1602</v>
      </c>
      <c r="H230" s="31" t="s">
        <v>1603</v>
      </c>
      <c r="I230" s="32" t="s">
        <v>26</v>
      </c>
      <c r="J230" s="32" t="s">
        <v>26</v>
      </c>
      <c r="K230" s="32" t="s">
        <v>26</v>
      </c>
      <c r="L230" s="38" t="s">
        <v>1604</v>
      </c>
      <c r="M230" s="38" t="s">
        <v>1605</v>
      </c>
      <c r="N230" s="31" t="s">
        <v>1390</v>
      </c>
      <c r="O230" s="33">
        <v>27.0</v>
      </c>
      <c r="P230" s="31" t="s">
        <v>1606</v>
      </c>
      <c r="Q230" s="31" t="s">
        <v>26</v>
      </c>
    </row>
    <row r="231" ht="22.5" customHeight="1">
      <c r="A231" s="31" t="s">
        <v>1607</v>
      </c>
      <c r="B231" s="31" t="s">
        <v>1608</v>
      </c>
      <c r="C231" s="32" t="s">
        <v>1383</v>
      </c>
      <c r="D231" s="32" t="s">
        <v>213</v>
      </c>
      <c r="E231" s="38" t="s">
        <v>1121</v>
      </c>
      <c r="F231" s="31" t="s">
        <v>1609</v>
      </c>
      <c r="G231" s="31" t="s">
        <v>1610</v>
      </c>
      <c r="H231" s="31" t="s">
        <v>1611</v>
      </c>
      <c r="I231" s="32" t="s">
        <v>26</v>
      </c>
      <c r="J231" s="32" t="s">
        <v>26</v>
      </c>
      <c r="K231" s="32" t="s">
        <v>26</v>
      </c>
      <c r="L231" s="38" t="s">
        <v>1612</v>
      </c>
      <c r="M231" s="38" t="s">
        <v>1613</v>
      </c>
      <c r="N231" s="31" t="s">
        <v>1390</v>
      </c>
      <c r="O231" s="33">
        <v>28.0</v>
      </c>
      <c r="P231" s="31" t="s">
        <v>1614</v>
      </c>
      <c r="Q231" s="31" t="s">
        <v>26</v>
      </c>
    </row>
    <row r="232" ht="22.5" customHeight="1">
      <c r="A232" s="31" t="s">
        <v>1615</v>
      </c>
      <c r="B232" s="31" t="s">
        <v>1616</v>
      </c>
      <c r="C232" s="32" t="s">
        <v>1599</v>
      </c>
      <c r="D232" s="32" t="s">
        <v>75</v>
      </c>
      <c r="E232" s="38" t="s">
        <v>1617</v>
      </c>
      <c r="F232" s="31" t="s">
        <v>1618</v>
      </c>
      <c r="G232" s="31" t="s">
        <v>1619</v>
      </c>
      <c r="H232" s="31" t="s">
        <v>1620</v>
      </c>
      <c r="I232" s="32" t="s">
        <v>26</v>
      </c>
      <c r="J232" s="32" t="s">
        <v>26</v>
      </c>
      <c r="K232" s="32" t="s">
        <v>26</v>
      </c>
      <c r="L232" s="38" t="s">
        <v>1621</v>
      </c>
      <c r="M232" s="38" t="s">
        <v>1622</v>
      </c>
      <c r="N232" s="31" t="s">
        <v>1390</v>
      </c>
      <c r="O232" s="33">
        <v>29.0</v>
      </c>
      <c r="P232" s="31" t="s">
        <v>1623</v>
      </c>
      <c r="Q232" s="31" t="s">
        <v>26</v>
      </c>
    </row>
    <row r="233" ht="22.5" customHeight="1">
      <c r="A233" s="31" t="s">
        <v>1624</v>
      </c>
      <c r="B233" s="31" t="s">
        <v>1625</v>
      </c>
      <c r="C233" s="32" t="s">
        <v>1599</v>
      </c>
      <c r="D233" s="32" t="s">
        <v>75</v>
      </c>
      <c r="E233" s="38" t="s">
        <v>1550</v>
      </c>
      <c r="F233" s="31" t="s">
        <v>1626</v>
      </c>
      <c r="G233" s="31" t="s">
        <v>1627</v>
      </c>
      <c r="H233" s="31" t="s">
        <v>1628</v>
      </c>
      <c r="I233" s="32" t="s">
        <v>26</v>
      </c>
      <c r="J233" s="32" t="s">
        <v>26</v>
      </c>
      <c r="K233" s="32" t="s">
        <v>26</v>
      </c>
      <c r="L233" s="38" t="s">
        <v>1629</v>
      </c>
      <c r="M233" s="38" t="s">
        <v>1630</v>
      </c>
      <c r="N233" s="31" t="s">
        <v>1390</v>
      </c>
      <c r="O233" s="33">
        <v>30.0</v>
      </c>
      <c r="P233" s="31" t="s">
        <v>1631</v>
      </c>
      <c r="Q233" s="31" t="s">
        <v>26</v>
      </c>
    </row>
    <row r="234" ht="22.5" customHeight="1">
      <c r="A234" s="31" t="s">
        <v>1632</v>
      </c>
      <c r="B234" s="31" t="s">
        <v>1633</v>
      </c>
      <c r="C234" s="32" t="s">
        <v>1599</v>
      </c>
      <c r="D234" s="32" t="s">
        <v>213</v>
      </c>
      <c r="E234" s="38" t="s">
        <v>1634</v>
      </c>
      <c r="F234" s="31" t="s">
        <v>1635</v>
      </c>
      <c r="G234" s="31" t="s">
        <v>1636</v>
      </c>
      <c r="H234" s="31" t="s">
        <v>1637</v>
      </c>
      <c r="I234" s="32" t="s">
        <v>26</v>
      </c>
      <c r="J234" s="32" t="s">
        <v>26</v>
      </c>
      <c r="K234" s="32" t="s">
        <v>26</v>
      </c>
      <c r="L234" s="38" t="s">
        <v>1638</v>
      </c>
      <c r="M234" s="38" t="s">
        <v>1639</v>
      </c>
      <c r="N234" s="31" t="s">
        <v>1390</v>
      </c>
      <c r="O234" s="33">
        <v>31.0</v>
      </c>
      <c r="P234" s="31" t="s">
        <v>1640</v>
      </c>
      <c r="Q234" s="31" t="s">
        <v>26</v>
      </c>
    </row>
    <row r="235" ht="22.5" customHeight="1">
      <c r="A235" s="31" t="s">
        <v>1641</v>
      </c>
      <c r="B235" s="31" t="s">
        <v>1642</v>
      </c>
      <c r="C235" s="32" t="s">
        <v>1599</v>
      </c>
      <c r="D235" s="32" t="s">
        <v>75</v>
      </c>
      <c r="E235" s="38" t="s">
        <v>1643</v>
      </c>
      <c r="F235" s="31" t="s">
        <v>1644</v>
      </c>
      <c r="G235" s="31" t="s">
        <v>1645</v>
      </c>
      <c r="H235" s="31" t="s">
        <v>1646</v>
      </c>
      <c r="I235" s="32" t="s">
        <v>26</v>
      </c>
      <c r="J235" s="32" t="s">
        <v>26</v>
      </c>
      <c r="K235" s="32" t="s">
        <v>26</v>
      </c>
      <c r="L235" s="38" t="s">
        <v>1647</v>
      </c>
      <c r="M235" s="38" t="s">
        <v>1648</v>
      </c>
      <c r="N235" s="31" t="s">
        <v>1390</v>
      </c>
      <c r="O235" s="33">
        <v>32.0</v>
      </c>
      <c r="P235" s="31" t="s">
        <v>1649</v>
      </c>
      <c r="Q235" s="31" t="s">
        <v>26</v>
      </c>
    </row>
    <row r="236" ht="22.5" customHeight="1">
      <c r="A236" s="31" t="s">
        <v>1418</v>
      </c>
      <c r="B236" s="31" t="s">
        <v>1650</v>
      </c>
      <c r="C236" s="32" t="s">
        <v>1420</v>
      </c>
      <c r="D236" s="32" t="s">
        <v>213</v>
      </c>
      <c r="E236" s="38" t="s">
        <v>1480</v>
      </c>
      <c r="F236" s="31" t="s">
        <v>1651</v>
      </c>
      <c r="G236" s="31" t="s">
        <v>1652</v>
      </c>
      <c r="H236" s="31" t="s">
        <v>1653</v>
      </c>
      <c r="I236" s="32" t="s">
        <v>26</v>
      </c>
      <c r="J236" s="32" t="s">
        <v>26</v>
      </c>
      <c r="K236" s="32" t="s">
        <v>26</v>
      </c>
      <c r="L236" s="38" t="s">
        <v>1654</v>
      </c>
      <c r="M236" s="38" t="s">
        <v>1655</v>
      </c>
      <c r="N236" s="31" t="s">
        <v>1390</v>
      </c>
      <c r="O236" s="33">
        <v>33.0</v>
      </c>
      <c r="P236" s="31" t="s">
        <v>1656</v>
      </c>
      <c r="Q236" s="31" t="s">
        <v>26</v>
      </c>
    </row>
    <row r="237" ht="22.5" customHeight="1">
      <c r="A237" s="31" t="s">
        <v>1657</v>
      </c>
      <c r="B237" s="31" t="s">
        <v>1658</v>
      </c>
      <c r="C237" s="32" t="s">
        <v>1420</v>
      </c>
      <c r="D237" s="32" t="s">
        <v>75</v>
      </c>
      <c r="E237" s="38" t="s">
        <v>1643</v>
      </c>
      <c r="F237" s="31" t="s">
        <v>1659</v>
      </c>
      <c r="G237" s="31" t="s">
        <v>1660</v>
      </c>
      <c r="H237" s="31" t="s">
        <v>1661</v>
      </c>
      <c r="I237" s="32" t="s">
        <v>26</v>
      </c>
      <c r="J237" s="32" t="s">
        <v>26</v>
      </c>
      <c r="K237" s="32" t="s">
        <v>26</v>
      </c>
      <c r="L237" s="38" t="s">
        <v>1662</v>
      </c>
      <c r="M237" s="38" t="s">
        <v>1663</v>
      </c>
      <c r="N237" s="31" t="s">
        <v>1390</v>
      </c>
      <c r="O237" s="33">
        <v>34.0</v>
      </c>
      <c r="P237" s="31" t="s">
        <v>1664</v>
      </c>
      <c r="Q237" s="31" t="s">
        <v>26</v>
      </c>
    </row>
    <row r="238" ht="22.5" customHeight="1">
      <c r="A238" s="8" t="s">
        <v>1665</v>
      </c>
      <c r="B238" s="8" t="s">
        <v>1666</v>
      </c>
      <c r="C238" s="39" t="s">
        <v>1420</v>
      </c>
      <c r="D238" s="39" t="s">
        <v>75</v>
      </c>
      <c r="E238" s="40" t="s">
        <v>1480</v>
      </c>
      <c r="F238" s="8" t="s">
        <v>1667</v>
      </c>
      <c r="G238" s="8" t="s">
        <v>1668</v>
      </c>
      <c r="H238" s="8" t="s">
        <v>1669</v>
      </c>
      <c r="I238" s="39" t="s">
        <v>26</v>
      </c>
      <c r="J238" s="39" t="s">
        <v>26</v>
      </c>
      <c r="K238" s="39" t="s">
        <v>1387</v>
      </c>
      <c r="L238" s="40" t="s">
        <v>1670</v>
      </c>
      <c r="M238" s="40" t="s">
        <v>1671</v>
      </c>
      <c r="N238" s="8" t="s">
        <v>1390</v>
      </c>
      <c r="O238" s="41">
        <v>35.0</v>
      </c>
      <c r="P238" s="8" t="s">
        <v>1672</v>
      </c>
      <c r="Q238" s="8" t="s">
        <v>26</v>
      </c>
    </row>
    <row r="239" ht="22.5" customHeight="1">
      <c r="A239" s="31" t="s">
        <v>1673</v>
      </c>
      <c r="B239" s="31" t="s">
        <v>1674</v>
      </c>
      <c r="C239" s="32" t="s">
        <v>1585</v>
      </c>
      <c r="D239" s="32" t="s">
        <v>75</v>
      </c>
      <c r="E239" s="38" t="s">
        <v>1550</v>
      </c>
      <c r="F239" s="31" t="s">
        <v>1675</v>
      </c>
      <c r="G239" s="31" t="s">
        <v>1676</v>
      </c>
      <c r="H239" s="31" t="s">
        <v>1677</v>
      </c>
      <c r="I239" s="32" t="s">
        <v>26</v>
      </c>
      <c r="J239" s="32" t="s">
        <v>1678</v>
      </c>
      <c r="K239" s="32" t="s">
        <v>26</v>
      </c>
      <c r="L239" s="38" t="s">
        <v>1679</v>
      </c>
      <c r="M239" s="38" t="s">
        <v>1680</v>
      </c>
      <c r="N239" s="31" t="s">
        <v>1390</v>
      </c>
      <c r="O239" s="33">
        <v>36.0</v>
      </c>
      <c r="P239" s="31" t="s">
        <v>1681</v>
      </c>
      <c r="Q239" s="31" t="s">
        <v>26</v>
      </c>
    </row>
    <row r="240" ht="22.5" customHeight="1">
      <c r="A240" s="31" t="s">
        <v>1682</v>
      </c>
      <c r="B240" s="31" t="s">
        <v>1683</v>
      </c>
      <c r="C240" s="32" t="s">
        <v>1383</v>
      </c>
      <c r="D240" s="32" t="s">
        <v>568</v>
      </c>
      <c r="E240" s="38" t="s">
        <v>1559</v>
      </c>
      <c r="F240" s="31" t="s">
        <v>1684</v>
      </c>
      <c r="G240" s="31" t="s">
        <v>1685</v>
      </c>
      <c r="H240" s="31" t="s">
        <v>1686</v>
      </c>
      <c r="I240" s="32" t="s">
        <v>26</v>
      </c>
      <c r="J240" s="32" t="s">
        <v>26</v>
      </c>
      <c r="K240" s="32" t="s">
        <v>1387</v>
      </c>
      <c r="L240" s="38" t="s">
        <v>1563</v>
      </c>
      <c r="M240" s="38" t="s">
        <v>1564</v>
      </c>
      <c r="N240" s="31" t="s">
        <v>1390</v>
      </c>
      <c r="O240" s="33">
        <v>37.0</v>
      </c>
      <c r="P240" s="31" t="s">
        <v>1687</v>
      </c>
      <c r="Q240" s="31" t="s">
        <v>26</v>
      </c>
    </row>
    <row r="241" ht="22.5" customHeight="1">
      <c r="A241" s="31" t="s">
        <v>1688</v>
      </c>
      <c r="B241" s="31" t="s">
        <v>1689</v>
      </c>
      <c r="C241" s="32" t="s">
        <v>1383</v>
      </c>
      <c r="D241" s="32" t="s">
        <v>75</v>
      </c>
      <c r="E241" s="38" t="s">
        <v>1550</v>
      </c>
      <c r="F241" s="31" t="s">
        <v>1690</v>
      </c>
      <c r="G241" s="31" t="s">
        <v>1691</v>
      </c>
      <c r="H241" s="31" t="s">
        <v>1692</v>
      </c>
      <c r="I241" s="32" t="s">
        <v>26</v>
      </c>
      <c r="J241" s="32" t="s">
        <v>26</v>
      </c>
      <c r="K241" s="32" t="s">
        <v>26</v>
      </c>
      <c r="L241" s="38" t="s">
        <v>1693</v>
      </c>
      <c r="M241" s="38" t="s">
        <v>1694</v>
      </c>
      <c r="N241" s="31" t="s">
        <v>1390</v>
      </c>
      <c r="O241" s="33">
        <v>38.0</v>
      </c>
      <c r="P241" s="31" t="s">
        <v>1695</v>
      </c>
      <c r="Q241" s="31" t="s">
        <v>26</v>
      </c>
    </row>
    <row r="242" ht="22.5" customHeight="1">
      <c r="A242" s="31" t="s">
        <v>1370</v>
      </c>
      <c r="B242" s="31" t="s">
        <v>1696</v>
      </c>
      <c r="C242" s="32" t="s">
        <v>1372</v>
      </c>
      <c r="D242" s="32" t="s">
        <v>568</v>
      </c>
      <c r="E242" s="38" t="s">
        <v>1559</v>
      </c>
      <c r="F242" s="31" t="s">
        <v>1697</v>
      </c>
      <c r="G242" s="31" t="s">
        <v>1698</v>
      </c>
      <c r="H242" s="31" t="s">
        <v>1699</v>
      </c>
      <c r="I242" s="32" t="s">
        <v>25</v>
      </c>
      <c r="J242" s="32" t="s">
        <v>1595</v>
      </c>
      <c r="K242" s="32" t="s">
        <v>26</v>
      </c>
      <c r="L242" s="38" t="s">
        <v>1433</v>
      </c>
      <c r="M242" s="38" t="s">
        <v>1434</v>
      </c>
      <c r="N242" s="31" t="s">
        <v>1390</v>
      </c>
      <c r="O242" s="33">
        <v>39.0</v>
      </c>
      <c r="P242" s="31" t="s">
        <v>1700</v>
      </c>
      <c r="Q242" s="31" t="s">
        <v>26</v>
      </c>
    </row>
    <row r="243" ht="22.5" customHeight="1">
      <c r="A243" s="31" t="s">
        <v>1701</v>
      </c>
      <c r="B243" s="31" t="s">
        <v>1702</v>
      </c>
      <c r="C243" s="32" t="s">
        <v>1420</v>
      </c>
      <c r="D243" s="32" t="s">
        <v>568</v>
      </c>
      <c r="E243" s="38" t="s">
        <v>1480</v>
      </c>
      <c r="F243" s="31" t="s">
        <v>1703</v>
      </c>
      <c r="G243" s="31" t="s">
        <v>1704</v>
      </c>
      <c r="H243" s="31" t="s">
        <v>1705</v>
      </c>
      <c r="I243" s="32" t="s">
        <v>25</v>
      </c>
      <c r="J243" s="32" t="s">
        <v>26</v>
      </c>
      <c r="K243" s="32" t="s">
        <v>26</v>
      </c>
      <c r="L243" s="38" t="s">
        <v>1706</v>
      </c>
      <c r="M243" s="38" t="s">
        <v>1707</v>
      </c>
      <c r="N243" s="31" t="s">
        <v>1390</v>
      </c>
      <c r="O243" s="33">
        <v>40.0</v>
      </c>
      <c r="P243" s="31" t="s">
        <v>1708</v>
      </c>
      <c r="Q243" s="31" t="s">
        <v>26</v>
      </c>
    </row>
    <row r="244" ht="22.5" customHeight="1">
      <c r="A244" s="31" t="s">
        <v>1392</v>
      </c>
      <c r="B244" s="31" t="s">
        <v>1709</v>
      </c>
      <c r="C244" s="32" t="s">
        <v>1372</v>
      </c>
      <c r="D244" s="32" t="s">
        <v>568</v>
      </c>
      <c r="E244" s="38" t="s">
        <v>1559</v>
      </c>
      <c r="F244" s="31" t="s">
        <v>1710</v>
      </c>
      <c r="G244" s="31" t="s">
        <v>1711</v>
      </c>
      <c r="H244" s="31" t="s">
        <v>1712</v>
      </c>
      <c r="I244" s="32" t="s">
        <v>25</v>
      </c>
      <c r="J244" s="32" t="s">
        <v>26</v>
      </c>
      <c r="K244" s="32" t="s">
        <v>26</v>
      </c>
      <c r="L244" s="38" t="s">
        <v>1713</v>
      </c>
      <c r="M244" s="38" t="s">
        <v>1378</v>
      </c>
      <c r="N244" s="31" t="s">
        <v>1390</v>
      </c>
      <c r="O244" s="33">
        <v>41.0</v>
      </c>
      <c r="P244" s="31" t="s">
        <v>1714</v>
      </c>
      <c r="Q244" s="31" t="s">
        <v>26</v>
      </c>
    </row>
    <row r="245" ht="22.5" customHeight="1">
      <c r="A245" s="31" t="s">
        <v>1715</v>
      </c>
      <c r="B245" s="31" t="s">
        <v>1716</v>
      </c>
      <c r="C245" s="32" t="s">
        <v>1383</v>
      </c>
      <c r="D245" s="32" t="s">
        <v>568</v>
      </c>
      <c r="E245" s="38" t="s">
        <v>1617</v>
      </c>
      <c r="F245" s="31" t="s">
        <v>1717</v>
      </c>
      <c r="G245" s="31" t="s">
        <v>1718</v>
      </c>
      <c r="H245" s="31" t="s">
        <v>1719</v>
      </c>
      <c r="I245" s="32" t="s">
        <v>25</v>
      </c>
      <c r="J245" s="32" t="s">
        <v>26</v>
      </c>
      <c r="K245" s="32" t="s">
        <v>26</v>
      </c>
      <c r="L245" s="38" t="s">
        <v>1475</v>
      </c>
      <c r="M245" s="38" t="s">
        <v>1476</v>
      </c>
      <c r="N245" s="31" t="s">
        <v>1390</v>
      </c>
      <c r="O245" s="33">
        <v>42.0</v>
      </c>
      <c r="P245" s="31" t="s">
        <v>1720</v>
      </c>
      <c r="Q245" s="31" t="s">
        <v>26</v>
      </c>
    </row>
    <row r="246" ht="22.5" customHeight="1">
      <c r="A246" s="31" t="s">
        <v>1721</v>
      </c>
      <c r="B246" s="31" t="s">
        <v>1722</v>
      </c>
      <c r="C246" s="32" t="s">
        <v>1723</v>
      </c>
      <c r="D246" s="32" t="s">
        <v>252</v>
      </c>
      <c r="E246" s="38" t="s">
        <v>1724</v>
      </c>
      <c r="F246" s="31" t="s">
        <v>1725</v>
      </c>
      <c r="G246" s="31" t="s">
        <v>1726</v>
      </c>
      <c r="H246" s="31" t="s">
        <v>1727</v>
      </c>
      <c r="I246" s="32" t="s">
        <v>25</v>
      </c>
      <c r="J246" s="32" t="s">
        <v>26</v>
      </c>
      <c r="K246" s="32" t="s">
        <v>1387</v>
      </c>
      <c r="L246" s="38" t="s">
        <v>1728</v>
      </c>
      <c r="M246" s="38" t="s">
        <v>1729</v>
      </c>
      <c r="N246" s="31" t="s">
        <v>1390</v>
      </c>
      <c r="O246" s="33">
        <v>43.0</v>
      </c>
      <c r="P246" s="31" t="s">
        <v>1730</v>
      </c>
      <c r="Q246" s="31" t="s">
        <v>26</v>
      </c>
    </row>
    <row r="247" ht="22.5" customHeight="1">
      <c r="A247" s="31" t="s">
        <v>1731</v>
      </c>
      <c r="B247" s="31" t="s">
        <v>1732</v>
      </c>
      <c r="C247" s="32" t="s">
        <v>1733</v>
      </c>
      <c r="D247" s="32" t="s">
        <v>275</v>
      </c>
      <c r="E247" s="38" t="s">
        <v>1734</v>
      </c>
      <c r="F247" s="31" t="s">
        <v>1735</v>
      </c>
      <c r="G247" s="31" t="s">
        <v>1736</v>
      </c>
      <c r="H247" s="31" t="s">
        <v>1737</v>
      </c>
      <c r="I247" s="32" t="s">
        <v>25</v>
      </c>
      <c r="J247" s="32" t="s">
        <v>26</v>
      </c>
      <c r="K247" s="32" t="s">
        <v>26</v>
      </c>
      <c r="L247" s="38" t="s">
        <v>1738</v>
      </c>
      <c r="M247" s="38" t="s">
        <v>1739</v>
      </c>
      <c r="N247" s="31" t="s">
        <v>1390</v>
      </c>
      <c r="O247" s="33">
        <v>44.0</v>
      </c>
      <c r="P247" s="31" t="s">
        <v>1740</v>
      </c>
      <c r="Q247" s="31" t="s">
        <v>26</v>
      </c>
    </row>
    <row r="248" ht="22.5" customHeight="1">
      <c r="A248" s="31" t="s">
        <v>1741</v>
      </c>
      <c r="B248" s="31" t="s">
        <v>1742</v>
      </c>
      <c r="C248" s="32" t="s">
        <v>1733</v>
      </c>
      <c r="D248" s="32" t="s">
        <v>275</v>
      </c>
      <c r="E248" s="38" t="s">
        <v>1743</v>
      </c>
      <c r="F248" s="31" t="s">
        <v>1744</v>
      </c>
      <c r="G248" s="31" t="s">
        <v>1745</v>
      </c>
      <c r="H248" s="31" t="s">
        <v>1746</v>
      </c>
      <c r="I248" s="32" t="s">
        <v>25</v>
      </c>
      <c r="J248" s="32" t="s">
        <v>1747</v>
      </c>
      <c r="K248" s="32" t="s">
        <v>26</v>
      </c>
      <c r="L248" s="38" t="s">
        <v>1748</v>
      </c>
      <c r="M248" s="38" t="s">
        <v>1749</v>
      </c>
      <c r="N248" s="31" t="s">
        <v>1390</v>
      </c>
      <c r="O248" s="33">
        <v>45.0</v>
      </c>
      <c r="P248" s="31" t="s">
        <v>1750</v>
      </c>
      <c r="Q248" s="31" t="s">
        <v>26</v>
      </c>
    </row>
    <row r="249" ht="22.5" customHeight="1">
      <c r="A249" s="31" t="s">
        <v>1751</v>
      </c>
      <c r="B249" s="31" t="s">
        <v>1752</v>
      </c>
      <c r="C249" s="32" t="s">
        <v>1733</v>
      </c>
      <c r="D249" s="32" t="s">
        <v>275</v>
      </c>
      <c r="E249" s="38" t="s">
        <v>1734</v>
      </c>
      <c r="F249" s="31" t="s">
        <v>1753</v>
      </c>
      <c r="G249" s="31" t="s">
        <v>1754</v>
      </c>
      <c r="H249" s="31" t="s">
        <v>1755</v>
      </c>
      <c r="I249" s="32" t="s">
        <v>25</v>
      </c>
      <c r="J249" s="32" t="s">
        <v>26</v>
      </c>
      <c r="K249" s="32" t="s">
        <v>26</v>
      </c>
      <c r="L249" s="38" t="s">
        <v>1756</v>
      </c>
      <c r="M249" s="38" t="s">
        <v>1757</v>
      </c>
      <c r="N249" s="31" t="s">
        <v>1390</v>
      </c>
      <c r="O249" s="33">
        <v>46.0</v>
      </c>
      <c r="P249" s="31" t="s">
        <v>1758</v>
      </c>
      <c r="Q249" s="31" t="s">
        <v>26</v>
      </c>
    </row>
    <row r="250" ht="22.5" customHeight="1">
      <c r="A250" s="31" t="s">
        <v>1759</v>
      </c>
      <c r="B250" s="31" t="s">
        <v>1760</v>
      </c>
      <c r="C250" s="32" t="s">
        <v>1733</v>
      </c>
      <c r="D250" s="32" t="s">
        <v>275</v>
      </c>
      <c r="E250" s="38" t="s">
        <v>1480</v>
      </c>
      <c r="F250" s="31" t="s">
        <v>1761</v>
      </c>
      <c r="G250" s="31" t="s">
        <v>1762</v>
      </c>
      <c r="H250" s="31" t="s">
        <v>1763</v>
      </c>
      <c r="I250" s="32" t="s">
        <v>25</v>
      </c>
      <c r="J250" s="32" t="s">
        <v>26</v>
      </c>
      <c r="K250" s="32" t="s">
        <v>26</v>
      </c>
      <c r="L250" s="38" t="s">
        <v>1764</v>
      </c>
      <c r="M250" s="38" t="s">
        <v>1765</v>
      </c>
      <c r="N250" s="31" t="s">
        <v>1390</v>
      </c>
      <c r="O250" s="33">
        <v>47.0</v>
      </c>
      <c r="P250" s="31" t="s">
        <v>1766</v>
      </c>
      <c r="Q250" s="31" t="s">
        <v>26</v>
      </c>
    </row>
    <row r="251" ht="22.5" customHeight="1">
      <c r="A251" s="31" t="s">
        <v>1523</v>
      </c>
      <c r="B251" s="31" t="s">
        <v>1767</v>
      </c>
      <c r="C251" s="32" t="s">
        <v>1525</v>
      </c>
      <c r="D251" s="32" t="s">
        <v>252</v>
      </c>
      <c r="E251" s="38" t="s">
        <v>1121</v>
      </c>
      <c r="F251" s="31" t="s">
        <v>1768</v>
      </c>
      <c r="G251" s="31" t="s">
        <v>1769</v>
      </c>
      <c r="H251" s="31" t="s">
        <v>1770</v>
      </c>
      <c r="I251" s="32" t="s">
        <v>1771</v>
      </c>
      <c r="J251" s="32" t="s">
        <v>1772</v>
      </c>
      <c r="K251" s="32" t="s">
        <v>26</v>
      </c>
      <c r="L251" s="38" t="s">
        <v>1773</v>
      </c>
      <c r="M251" s="38" t="s">
        <v>1774</v>
      </c>
      <c r="N251" s="31" t="s">
        <v>1390</v>
      </c>
      <c r="O251" s="33">
        <v>48.0</v>
      </c>
      <c r="P251" s="31" t="s">
        <v>1775</v>
      </c>
      <c r="Q251" s="31" t="s">
        <v>26</v>
      </c>
    </row>
    <row r="252" ht="22.5" customHeight="1">
      <c r="A252" s="31" t="s">
        <v>1776</v>
      </c>
      <c r="B252" s="31" t="s">
        <v>1777</v>
      </c>
      <c r="C252" s="32" t="s">
        <v>1733</v>
      </c>
      <c r="D252" s="32" t="s">
        <v>275</v>
      </c>
      <c r="E252" s="38" t="s">
        <v>1617</v>
      </c>
      <c r="F252" s="31" t="s">
        <v>1778</v>
      </c>
      <c r="G252" s="31" t="s">
        <v>1779</v>
      </c>
      <c r="H252" s="31" t="s">
        <v>1780</v>
      </c>
      <c r="I252" s="32" t="s">
        <v>1781</v>
      </c>
      <c r="J252" s="32" t="s">
        <v>26</v>
      </c>
      <c r="K252" s="32" t="s">
        <v>26</v>
      </c>
      <c r="L252" s="38" t="s">
        <v>1782</v>
      </c>
      <c r="M252" s="38" t="s">
        <v>1783</v>
      </c>
      <c r="N252" s="31" t="s">
        <v>1390</v>
      </c>
      <c r="O252" s="33">
        <v>49.0</v>
      </c>
      <c r="P252" s="31" t="s">
        <v>1784</v>
      </c>
      <c r="Q252" s="31" t="s">
        <v>26</v>
      </c>
    </row>
    <row r="253" ht="22.5" customHeight="1">
      <c r="A253" s="31" t="s">
        <v>1785</v>
      </c>
      <c r="B253" s="31" t="s">
        <v>1786</v>
      </c>
      <c r="C253" s="32" t="s">
        <v>1733</v>
      </c>
      <c r="D253" s="32" t="s">
        <v>275</v>
      </c>
      <c r="E253" s="38" t="s">
        <v>1617</v>
      </c>
      <c r="F253" s="31" t="s">
        <v>1787</v>
      </c>
      <c r="G253" s="31" t="s">
        <v>1788</v>
      </c>
      <c r="H253" s="31" t="s">
        <v>1789</v>
      </c>
      <c r="I253" s="32" t="s">
        <v>1790</v>
      </c>
      <c r="J253" s="32" t="s">
        <v>26</v>
      </c>
      <c r="K253" s="32" t="s">
        <v>26</v>
      </c>
      <c r="L253" s="38" t="s">
        <v>1791</v>
      </c>
      <c r="M253" s="38" t="s">
        <v>1792</v>
      </c>
      <c r="N253" s="31" t="s">
        <v>1390</v>
      </c>
      <c r="O253" s="33">
        <v>50.0</v>
      </c>
      <c r="P253" s="31" t="s">
        <v>1793</v>
      </c>
      <c r="Q253" s="31" t="s">
        <v>26</v>
      </c>
    </row>
    <row r="254" ht="22.5" customHeight="1">
      <c r="A254" s="31" t="s">
        <v>1794</v>
      </c>
      <c r="B254" s="31" t="s">
        <v>1795</v>
      </c>
      <c r="C254" s="32" t="s">
        <v>1733</v>
      </c>
      <c r="D254" s="32" t="s">
        <v>275</v>
      </c>
      <c r="E254" s="38" t="s">
        <v>1480</v>
      </c>
      <c r="F254" s="31" t="s">
        <v>1796</v>
      </c>
      <c r="G254" s="31" t="s">
        <v>1797</v>
      </c>
      <c r="H254" s="31" t="s">
        <v>1798</v>
      </c>
      <c r="I254" s="32" t="s">
        <v>1799</v>
      </c>
      <c r="J254" s="32" t="s">
        <v>26</v>
      </c>
      <c r="K254" s="32" t="s">
        <v>26</v>
      </c>
      <c r="L254" s="38" t="s">
        <v>1800</v>
      </c>
      <c r="M254" s="38" t="s">
        <v>1801</v>
      </c>
      <c r="N254" s="31" t="s">
        <v>1390</v>
      </c>
      <c r="O254" s="33">
        <v>51.0</v>
      </c>
      <c r="P254" s="31" t="s">
        <v>1802</v>
      </c>
      <c r="Q254" s="31" t="s">
        <v>26</v>
      </c>
    </row>
    <row r="255" ht="22.5" customHeight="1">
      <c r="A255" s="31" t="s">
        <v>1427</v>
      </c>
      <c r="B255" s="31" t="s">
        <v>1803</v>
      </c>
      <c r="C255" s="32" t="s">
        <v>1372</v>
      </c>
      <c r="D255" s="32" t="s">
        <v>75</v>
      </c>
      <c r="E255" s="38" t="s">
        <v>1804</v>
      </c>
      <c r="F255" s="31" t="s">
        <v>1805</v>
      </c>
      <c r="G255" s="31" t="s">
        <v>1806</v>
      </c>
      <c r="H255" s="31" t="s">
        <v>1807</v>
      </c>
      <c r="I255" s="32" t="s">
        <v>1808</v>
      </c>
      <c r="J255" s="32" t="s">
        <v>1809</v>
      </c>
      <c r="K255" s="32" t="s">
        <v>26</v>
      </c>
      <c r="L255" s="38" t="s">
        <v>1810</v>
      </c>
      <c r="M255" s="38" t="s">
        <v>1811</v>
      </c>
      <c r="N255" s="31" t="s">
        <v>1390</v>
      </c>
      <c r="O255" s="33">
        <v>52.0</v>
      </c>
      <c r="P255" s="31" t="s">
        <v>1812</v>
      </c>
      <c r="Q255" s="31" t="s">
        <v>26</v>
      </c>
    </row>
    <row r="256" ht="22.5" customHeight="1">
      <c r="A256" s="31" t="s">
        <v>1813</v>
      </c>
      <c r="B256" s="31" t="s">
        <v>1814</v>
      </c>
      <c r="C256" s="32" t="s">
        <v>1383</v>
      </c>
      <c r="D256" s="32" t="s">
        <v>75</v>
      </c>
      <c r="E256" s="38" t="s">
        <v>1804</v>
      </c>
      <c r="F256" s="31" t="s">
        <v>1815</v>
      </c>
      <c r="G256" s="31" t="s">
        <v>1816</v>
      </c>
      <c r="H256" s="31" t="s">
        <v>1817</v>
      </c>
      <c r="I256" s="32" t="s">
        <v>1818</v>
      </c>
      <c r="J256" s="32" t="s">
        <v>1819</v>
      </c>
      <c r="K256" s="32" t="s">
        <v>26</v>
      </c>
      <c r="L256" s="38" t="s">
        <v>1820</v>
      </c>
      <c r="M256" s="38" t="s">
        <v>1821</v>
      </c>
      <c r="N256" s="31" t="s">
        <v>1390</v>
      </c>
      <c r="O256" s="33">
        <v>53.0</v>
      </c>
      <c r="P256" s="31" t="s">
        <v>1822</v>
      </c>
      <c r="Q256" s="31" t="s">
        <v>26</v>
      </c>
    </row>
    <row r="257" ht="22.5" customHeight="1">
      <c r="A257" s="31" t="s">
        <v>1823</v>
      </c>
      <c r="B257" s="31" t="s">
        <v>1824</v>
      </c>
      <c r="C257" s="32" t="s">
        <v>1420</v>
      </c>
      <c r="D257" s="32" t="s">
        <v>252</v>
      </c>
      <c r="E257" s="38" t="s">
        <v>1825</v>
      </c>
      <c r="F257" s="31" t="s">
        <v>1826</v>
      </c>
      <c r="G257" s="31" t="s">
        <v>1827</v>
      </c>
      <c r="H257" s="31" t="s">
        <v>1828</v>
      </c>
      <c r="I257" s="32" t="s">
        <v>1829</v>
      </c>
      <c r="J257" s="32" t="s">
        <v>1830</v>
      </c>
      <c r="K257" s="32" t="s">
        <v>26</v>
      </c>
      <c r="L257" s="38" t="s">
        <v>1831</v>
      </c>
      <c r="M257" s="38" t="s">
        <v>1832</v>
      </c>
      <c r="N257" s="31" t="s">
        <v>1390</v>
      </c>
      <c r="O257" s="33">
        <v>54.0</v>
      </c>
      <c r="P257" s="31" t="s">
        <v>1833</v>
      </c>
      <c r="Q257" s="31" t="s">
        <v>26</v>
      </c>
    </row>
    <row r="258" ht="22.5" customHeight="1">
      <c r="A258" s="31" t="s">
        <v>1834</v>
      </c>
      <c r="B258" s="31" t="s">
        <v>1835</v>
      </c>
      <c r="C258" s="32" t="s">
        <v>1420</v>
      </c>
      <c r="D258" s="32" t="s">
        <v>568</v>
      </c>
      <c r="E258" s="38" t="s">
        <v>1804</v>
      </c>
      <c r="F258" s="31" t="s">
        <v>1836</v>
      </c>
      <c r="G258" s="31" t="s">
        <v>1837</v>
      </c>
      <c r="H258" s="31" t="s">
        <v>1838</v>
      </c>
      <c r="I258" s="32" t="s">
        <v>1839</v>
      </c>
      <c r="J258" s="32" t="s">
        <v>1830</v>
      </c>
      <c r="K258" s="32" t="s">
        <v>26</v>
      </c>
      <c r="L258" s="38" t="s">
        <v>1840</v>
      </c>
      <c r="M258" s="38" t="s">
        <v>1841</v>
      </c>
      <c r="N258" s="31" t="s">
        <v>1390</v>
      </c>
      <c r="O258" s="33">
        <v>55.0</v>
      </c>
      <c r="P258" s="31" t="s">
        <v>1842</v>
      </c>
      <c r="Q258" s="31" t="s">
        <v>26</v>
      </c>
    </row>
    <row r="259" ht="22.5" customHeight="1">
      <c r="A259" s="31" t="s">
        <v>1843</v>
      </c>
      <c r="B259" s="31" t="s">
        <v>1844</v>
      </c>
      <c r="C259" s="32" t="s">
        <v>1845</v>
      </c>
      <c r="D259" s="32" t="s">
        <v>275</v>
      </c>
      <c r="E259" s="38" t="s">
        <v>1825</v>
      </c>
      <c r="F259" s="31" t="s">
        <v>1846</v>
      </c>
      <c r="G259" s="31" t="s">
        <v>1847</v>
      </c>
      <c r="H259" s="31" t="s">
        <v>1848</v>
      </c>
      <c r="I259" s="32" t="s">
        <v>1849</v>
      </c>
      <c r="J259" s="32" t="s">
        <v>1809</v>
      </c>
      <c r="K259" s="32" t="s">
        <v>26</v>
      </c>
      <c r="L259" s="38" t="s">
        <v>1850</v>
      </c>
      <c r="M259" s="38" t="s">
        <v>1851</v>
      </c>
      <c r="N259" s="31" t="s">
        <v>1390</v>
      </c>
      <c r="O259" s="33">
        <v>56.0</v>
      </c>
      <c r="P259" s="31" t="s">
        <v>1852</v>
      </c>
      <c r="Q259" s="31" t="s">
        <v>26</v>
      </c>
    </row>
    <row r="260" ht="22.5" customHeight="1">
      <c r="A260" s="31" t="s">
        <v>1853</v>
      </c>
      <c r="B260" s="31" t="s">
        <v>1854</v>
      </c>
      <c r="C260" s="32" t="s">
        <v>1383</v>
      </c>
      <c r="D260" s="32" t="s">
        <v>252</v>
      </c>
      <c r="E260" s="38" t="s">
        <v>1617</v>
      </c>
      <c r="F260" s="31" t="s">
        <v>1855</v>
      </c>
      <c r="G260" s="31" t="s">
        <v>1856</v>
      </c>
      <c r="H260" s="31" t="s">
        <v>1857</v>
      </c>
      <c r="I260" s="32" t="s">
        <v>1858</v>
      </c>
      <c r="J260" s="32" t="s">
        <v>26</v>
      </c>
      <c r="K260" s="32" t="s">
        <v>26</v>
      </c>
      <c r="L260" s="38" t="s">
        <v>1859</v>
      </c>
      <c r="M260" s="38" t="s">
        <v>1389</v>
      </c>
      <c r="N260" s="31" t="s">
        <v>1390</v>
      </c>
      <c r="O260" s="33">
        <v>57.0</v>
      </c>
      <c r="P260" s="31" t="s">
        <v>1860</v>
      </c>
      <c r="Q260" s="31" t="s">
        <v>26</v>
      </c>
    </row>
    <row r="261" ht="22.5" customHeight="1">
      <c r="A261" s="31" t="s">
        <v>1861</v>
      </c>
      <c r="B261" s="31" t="s">
        <v>1862</v>
      </c>
      <c r="C261" s="32" t="s">
        <v>1372</v>
      </c>
      <c r="D261" s="32" t="s">
        <v>275</v>
      </c>
      <c r="E261" s="38" t="s">
        <v>1804</v>
      </c>
      <c r="F261" s="31" t="s">
        <v>1863</v>
      </c>
      <c r="G261" s="31" t="s">
        <v>1864</v>
      </c>
      <c r="H261" s="31" t="s">
        <v>1865</v>
      </c>
      <c r="I261" s="32" t="s">
        <v>1866</v>
      </c>
      <c r="J261" s="32" t="s">
        <v>1809</v>
      </c>
      <c r="K261" s="32" t="s">
        <v>26</v>
      </c>
      <c r="L261" s="38" t="s">
        <v>1810</v>
      </c>
      <c r="M261" s="38" t="s">
        <v>1811</v>
      </c>
      <c r="N261" s="31" t="s">
        <v>1390</v>
      </c>
      <c r="O261" s="33">
        <v>58.0</v>
      </c>
      <c r="P261" s="31" t="s">
        <v>1867</v>
      </c>
      <c r="Q261" s="31" t="s">
        <v>26</v>
      </c>
    </row>
    <row r="262" ht="22.5" customHeight="1">
      <c r="A262" s="31" t="s">
        <v>1597</v>
      </c>
      <c r="B262" s="31" t="s">
        <v>1868</v>
      </c>
      <c r="C262" s="32" t="s">
        <v>1599</v>
      </c>
      <c r="D262" s="32" t="s">
        <v>75</v>
      </c>
      <c r="E262" s="38" t="s">
        <v>1869</v>
      </c>
      <c r="F262" s="31" t="s">
        <v>1870</v>
      </c>
      <c r="G262" s="31" t="s">
        <v>1871</v>
      </c>
      <c r="H262" s="31" t="s">
        <v>1872</v>
      </c>
      <c r="I262" s="32" t="s">
        <v>1873</v>
      </c>
      <c r="J262" s="32" t="s">
        <v>1874</v>
      </c>
      <c r="K262" s="32" t="s">
        <v>26</v>
      </c>
      <c r="L262" s="38" t="s">
        <v>1875</v>
      </c>
      <c r="M262" s="38" t="s">
        <v>1876</v>
      </c>
      <c r="N262" s="31" t="s">
        <v>1390</v>
      </c>
      <c r="O262" s="33">
        <v>59.0</v>
      </c>
      <c r="P262" s="31" t="s">
        <v>1877</v>
      </c>
      <c r="Q262" s="31" t="s">
        <v>26</v>
      </c>
    </row>
    <row r="263" ht="22.5" customHeight="1">
      <c r="A263" s="31" t="s">
        <v>1607</v>
      </c>
      <c r="B263" s="31" t="s">
        <v>1878</v>
      </c>
      <c r="C263" s="32" t="s">
        <v>1599</v>
      </c>
      <c r="D263" s="32" t="s">
        <v>75</v>
      </c>
      <c r="E263" s="38" t="s">
        <v>1804</v>
      </c>
      <c r="F263" s="31" t="s">
        <v>1879</v>
      </c>
      <c r="G263" s="31" t="s">
        <v>1880</v>
      </c>
      <c r="H263" s="31" t="s">
        <v>1881</v>
      </c>
      <c r="I263" s="32" t="s">
        <v>1882</v>
      </c>
      <c r="J263" s="32" t="s">
        <v>1809</v>
      </c>
      <c r="K263" s="32" t="s">
        <v>26</v>
      </c>
      <c r="L263" s="38" t="s">
        <v>1883</v>
      </c>
      <c r="M263" s="38" t="s">
        <v>1884</v>
      </c>
      <c r="N263" s="31" t="s">
        <v>1390</v>
      </c>
      <c r="O263" s="33">
        <v>60.0</v>
      </c>
      <c r="P263" s="31" t="s">
        <v>1885</v>
      </c>
      <c r="Q263" s="31" t="s">
        <v>26</v>
      </c>
    </row>
    <row r="264" ht="22.5" customHeight="1">
      <c r="A264" s="31" t="s">
        <v>1886</v>
      </c>
      <c r="B264" s="31" t="s">
        <v>1887</v>
      </c>
      <c r="C264" s="32" t="s">
        <v>1420</v>
      </c>
      <c r="D264" s="32" t="s">
        <v>75</v>
      </c>
      <c r="E264" s="38" t="s">
        <v>1804</v>
      </c>
      <c r="F264" s="31" t="s">
        <v>1888</v>
      </c>
      <c r="G264" s="31" t="s">
        <v>1889</v>
      </c>
      <c r="H264" s="31" t="s">
        <v>1890</v>
      </c>
      <c r="I264" s="32" t="s">
        <v>1891</v>
      </c>
      <c r="J264" s="32" t="s">
        <v>1809</v>
      </c>
      <c r="K264" s="32" t="s">
        <v>26</v>
      </c>
      <c r="L264" s="38" t="s">
        <v>1892</v>
      </c>
      <c r="M264" s="38" t="s">
        <v>1893</v>
      </c>
      <c r="N264" s="31" t="s">
        <v>1390</v>
      </c>
      <c r="O264" s="33">
        <v>61.0</v>
      </c>
      <c r="P264" s="31" t="s">
        <v>1894</v>
      </c>
      <c r="Q264" s="31" t="s">
        <v>26</v>
      </c>
    </row>
    <row r="265" ht="22.5" customHeight="1">
      <c r="A265" s="31" t="s">
        <v>1895</v>
      </c>
      <c r="B265" s="31" t="s">
        <v>1896</v>
      </c>
      <c r="C265" s="32" t="s">
        <v>1576</v>
      </c>
      <c r="D265" s="32" t="s">
        <v>75</v>
      </c>
      <c r="E265" s="38" t="s">
        <v>1897</v>
      </c>
      <c r="F265" s="31" t="s">
        <v>1898</v>
      </c>
      <c r="G265" s="31" t="s">
        <v>1899</v>
      </c>
      <c r="H265" s="31" t="s">
        <v>1900</v>
      </c>
      <c r="I265" s="32" t="s">
        <v>1901</v>
      </c>
      <c r="J265" s="32" t="s">
        <v>26</v>
      </c>
      <c r="K265" s="32" t="s">
        <v>26</v>
      </c>
      <c r="L265" s="38" t="s">
        <v>1902</v>
      </c>
      <c r="M265" s="38" t="s">
        <v>1903</v>
      </c>
      <c r="N265" s="31" t="s">
        <v>1390</v>
      </c>
      <c r="O265" s="33">
        <v>62.0</v>
      </c>
      <c r="P265" s="31" t="s">
        <v>1904</v>
      </c>
      <c r="Q265" s="31" t="s">
        <v>26</v>
      </c>
    </row>
    <row r="266" ht="22.5" customHeight="1">
      <c r="A266" s="42" t="s">
        <v>1533</v>
      </c>
      <c r="B266" s="42" t="s">
        <v>1905</v>
      </c>
      <c r="C266" s="43" t="s">
        <v>1525</v>
      </c>
      <c r="D266" s="43" t="s">
        <v>20</v>
      </c>
      <c r="E266" s="44" t="s">
        <v>1906</v>
      </c>
      <c r="F266" s="42" t="s">
        <v>1907</v>
      </c>
      <c r="G266" s="42" t="s">
        <v>1908</v>
      </c>
      <c r="H266" s="42" t="s">
        <v>1909</v>
      </c>
      <c r="I266" s="43" t="s">
        <v>1910</v>
      </c>
      <c r="J266" s="43" t="s">
        <v>1911</v>
      </c>
      <c r="K266" s="43" t="s">
        <v>26</v>
      </c>
      <c r="L266" s="44" t="s">
        <v>1912</v>
      </c>
      <c r="M266" s="44" t="s">
        <v>1913</v>
      </c>
      <c r="N266" s="42" t="s">
        <v>1390</v>
      </c>
      <c r="O266" s="45">
        <v>63.0</v>
      </c>
      <c r="P266" s="42" t="s">
        <v>1914</v>
      </c>
      <c r="Q266" s="42" t="s">
        <v>26</v>
      </c>
    </row>
    <row r="267" ht="22.5" customHeight="1">
      <c r="A267" s="42" t="s">
        <v>1915</v>
      </c>
      <c r="B267" s="42" t="s">
        <v>1916</v>
      </c>
      <c r="C267" s="43" t="s">
        <v>1383</v>
      </c>
      <c r="D267" s="43" t="s">
        <v>46</v>
      </c>
      <c r="E267" s="44" t="s">
        <v>1917</v>
      </c>
      <c r="F267" s="42" t="s">
        <v>1918</v>
      </c>
      <c r="G267" s="42" t="s">
        <v>1919</v>
      </c>
      <c r="H267" s="42" t="s">
        <v>1920</v>
      </c>
      <c r="I267" s="43" t="s">
        <v>1921</v>
      </c>
      <c r="J267" s="43" t="s">
        <v>26</v>
      </c>
      <c r="K267" s="43" t="s">
        <v>26</v>
      </c>
      <c r="L267" s="44" t="s">
        <v>1922</v>
      </c>
      <c r="M267" s="44" t="s">
        <v>1485</v>
      </c>
      <c r="N267" s="42" t="s">
        <v>1390</v>
      </c>
      <c r="O267" s="45">
        <v>64.0</v>
      </c>
      <c r="P267" s="42" t="s">
        <v>1923</v>
      </c>
      <c r="Q267" s="42" t="s">
        <v>26</v>
      </c>
    </row>
    <row r="268" ht="22.5" customHeight="1">
      <c r="A268" s="42" t="s">
        <v>1615</v>
      </c>
      <c r="B268" s="42" t="s">
        <v>1924</v>
      </c>
      <c r="C268" s="43" t="s">
        <v>1599</v>
      </c>
      <c r="D268" s="43" t="s">
        <v>191</v>
      </c>
      <c r="E268" s="44" t="s">
        <v>1743</v>
      </c>
      <c r="F268" s="42" t="s">
        <v>1925</v>
      </c>
      <c r="G268" s="42" t="s">
        <v>1926</v>
      </c>
      <c r="H268" s="42" t="s">
        <v>1927</v>
      </c>
      <c r="I268" s="43" t="s">
        <v>1928</v>
      </c>
      <c r="J268" s="43" t="s">
        <v>1929</v>
      </c>
      <c r="K268" s="43" t="s">
        <v>26</v>
      </c>
      <c r="L268" s="44" t="s">
        <v>1930</v>
      </c>
      <c r="M268" s="44" t="s">
        <v>1931</v>
      </c>
      <c r="N268" s="42" t="s">
        <v>1390</v>
      </c>
      <c r="O268" s="45">
        <v>65.0</v>
      </c>
      <c r="P268" s="42" t="s">
        <v>1932</v>
      </c>
      <c r="Q268" s="42" t="s">
        <v>26</v>
      </c>
    </row>
    <row r="269" ht="22.5" customHeight="1">
      <c r="A269" s="42" t="s">
        <v>1731</v>
      </c>
      <c r="B269" s="42" t="s">
        <v>1933</v>
      </c>
      <c r="C269" s="43" t="s">
        <v>1733</v>
      </c>
      <c r="D269" s="43" t="s">
        <v>275</v>
      </c>
      <c r="E269" s="44" t="s">
        <v>1934</v>
      </c>
      <c r="F269" s="42" t="s">
        <v>1935</v>
      </c>
      <c r="G269" s="42" t="s">
        <v>1936</v>
      </c>
      <c r="H269" s="42" t="s">
        <v>1937</v>
      </c>
      <c r="I269" s="43" t="s">
        <v>1938</v>
      </c>
      <c r="J269" s="43" t="s">
        <v>1939</v>
      </c>
      <c r="K269" s="43" t="s">
        <v>26</v>
      </c>
      <c r="L269" s="44" t="s">
        <v>1940</v>
      </c>
      <c r="M269" s="44" t="s">
        <v>1941</v>
      </c>
      <c r="N269" s="42" t="s">
        <v>1390</v>
      </c>
      <c r="O269" s="45">
        <v>66.0</v>
      </c>
      <c r="P269" s="42" t="s">
        <v>1942</v>
      </c>
      <c r="Q269" s="42" t="s">
        <v>26</v>
      </c>
    </row>
    <row r="270" ht="22.5" customHeight="1">
      <c r="A270" s="42" t="s">
        <v>1566</v>
      </c>
      <c r="B270" s="42" t="s">
        <v>1943</v>
      </c>
      <c r="C270" s="43" t="s">
        <v>1525</v>
      </c>
      <c r="D270" s="43" t="s">
        <v>994</v>
      </c>
      <c r="E270" s="44" t="s">
        <v>1944</v>
      </c>
      <c r="F270" s="42" t="s">
        <v>1945</v>
      </c>
      <c r="G270" s="42" t="s">
        <v>1946</v>
      </c>
      <c r="H270" s="42" t="s">
        <v>1947</v>
      </c>
      <c r="I270" s="43" t="s">
        <v>1948</v>
      </c>
      <c r="J270" s="43" t="s">
        <v>1949</v>
      </c>
      <c r="K270" s="43" t="s">
        <v>26</v>
      </c>
      <c r="L270" s="44" t="s">
        <v>1950</v>
      </c>
      <c r="M270" s="44" t="s">
        <v>1951</v>
      </c>
      <c r="N270" s="42" t="s">
        <v>1390</v>
      </c>
      <c r="O270" s="45">
        <v>67.0</v>
      </c>
      <c r="P270" s="42" t="s">
        <v>1952</v>
      </c>
      <c r="Q270" s="42" t="s">
        <v>26</v>
      </c>
    </row>
    <row r="271" ht="22.5" customHeight="1">
      <c r="A271" s="42" t="s">
        <v>1953</v>
      </c>
      <c r="B271" s="42" t="s">
        <v>1954</v>
      </c>
      <c r="C271" s="43" t="s">
        <v>1410</v>
      </c>
      <c r="D271" s="43" t="s">
        <v>252</v>
      </c>
      <c r="E271" s="44" t="s">
        <v>1743</v>
      </c>
      <c r="F271" s="42" t="s">
        <v>1955</v>
      </c>
      <c r="G271" s="42" t="s">
        <v>1956</v>
      </c>
      <c r="H271" s="42" t="s">
        <v>1957</v>
      </c>
      <c r="I271" s="43" t="s">
        <v>1958</v>
      </c>
      <c r="J271" s="43" t="s">
        <v>1959</v>
      </c>
      <c r="K271" s="43" t="s">
        <v>26</v>
      </c>
      <c r="L271" s="44" t="s">
        <v>1960</v>
      </c>
      <c r="M271" s="44" t="s">
        <v>1961</v>
      </c>
      <c r="N271" s="42" t="s">
        <v>1390</v>
      </c>
      <c r="O271" s="45">
        <v>68.0</v>
      </c>
      <c r="P271" s="42" t="s">
        <v>1962</v>
      </c>
      <c r="Q271" s="42" t="s">
        <v>26</v>
      </c>
    </row>
    <row r="272" ht="22.5" customHeight="1">
      <c r="A272" s="42" t="s">
        <v>1408</v>
      </c>
      <c r="B272" s="42" t="s">
        <v>1963</v>
      </c>
      <c r="C272" s="43" t="s">
        <v>1410</v>
      </c>
      <c r="D272" s="43" t="s">
        <v>46</v>
      </c>
      <c r="E272" s="44" t="s">
        <v>1804</v>
      </c>
      <c r="F272" s="42" t="s">
        <v>1964</v>
      </c>
      <c r="G272" s="42" t="s">
        <v>1965</v>
      </c>
      <c r="H272" s="42" t="s">
        <v>1966</v>
      </c>
      <c r="I272" s="43" t="s">
        <v>1967</v>
      </c>
      <c r="J272" s="43" t="s">
        <v>1968</v>
      </c>
      <c r="K272" s="43" t="s">
        <v>1969</v>
      </c>
      <c r="L272" s="44" t="s">
        <v>1970</v>
      </c>
      <c r="M272" s="44" t="s">
        <v>1971</v>
      </c>
      <c r="N272" s="42" t="s">
        <v>1390</v>
      </c>
      <c r="O272" s="45">
        <v>69.0</v>
      </c>
      <c r="P272" s="42" t="s">
        <v>1972</v>
      </c>
      <c r="Q272" s="42" t="s">
        <v>26</v>
      </c>
    </row>
    <row r="273" ht="22.5" customHeight="1">
      <c r="A273" s="42" t="s">
        <v>1436</v>
      </c>
      <c r="B273" s="42" t="s">
        <v>1973</v>
      </c>
      <c r="C273" s="43" t="s">
        <v>1410</v>
      </c>
      <c r="D273" s="43" t="s">
        <v>191</v>
      </c>
      <c r="E273" s="44" t="s">
        <v>1934</v>
      </c>
      <c r="F273" s="42" t="s">
        <v>1974</v>
      </c>
      <c r="G273" s="42" t="s">
        <v>1975</v>
      </c>
      <c r="H273" s="42" t="s">
        <v>1976</v>
      </c>
      <c r="I273" s="43" t="s">
        <v>1977</v>
      </c>
      <c r="J273" s="43" t="s">
        <v>1978</v>
      </c>
      <c r="K273" s="43" t="s">
        <v>26</v>
      </c>
      <c r="L273" s="44" t="s">
        <v>1970</v>
      </c>
      <c r="M273" s="44" t="s">
        <v>1971</v>
      </c>
      <c r="N273" s="42" t="s">
        <v>1390</v>
      </c>
      <c r="O273" s="45">
        <v>70.0</v>
      </c>
      <c r="P273" s="42" t="s">
        <v>1979</v>
      </c>
      <c r="Q273" s="42" t="s">
        <v>26</v>
      </c>
    </row>
    <row r="274" ht="22.5" customHeight="1">
      <c r="A274" s="46"/>
      <c r="B274" s="8"/>
      <c r="C274" s="47"/>
      <c r="D274" s="47"/>
      <c r="E274" s="48"/>
      <c r="F274" s="46"/>
      <c r="G274" s="8"/>
      <c r="H274" s="46"/>
      <c r="I274" s="47"/>
      <c r="J274" s="47"/>
      <c r="K274" s="47"/>
      <c r="L274" s="48"/>
      <c r="M274" s="48"/>
      <c r="N274" s="46"/>
      <c r="O274" s="41"/>
      <c r="P274" s="46"/>
      <c r="Q274" s="46"/>
    </row>
    <row r="275" ht="22.5" customHeight="1">
      <c r="A275" s="46"/>
      <c r="B275" s="8"/>
      <c r="C275" s="47"/>
      <c r="D275" s="47"/>
      <c r="E275" s="48"/>
      <c r="F275" s="46"/>
      <c r="G275" s="8"/>
      <c r="H275" s="46"/>
      <c r="I275" s="47"/>
      <c r="J275" s="47"/>
      <c r="K275" s="47"/>
      <c r="L275" s="48"/>
      <c r="M275" s="48"/>
      <c r="N275" s="46"/>
      <c r="O275" s="41"/>
      <c r="P275" s="46"/>
      <c r="Q275" s="49"/>
    </row>
    <row r="276" ht="22.5" customHeight="1">
      <c r="A276" s="46"/>
      <c r="B276" s="8"/>
      <c r="C276" s="47"/>
      <c r="D276" s="47"/>
      <c r="E276" s="48"/>
      <c r="F276" s="46"/>
      <c r="G276" s="8"/>
      <c r="H276" s="46"/>
      <c r="I276" s="47"/>
      <c r="J276" s="47"/>
      <c r="K276" s="47"/>
      <c r="L276" s="48"/>
      <c r="M276" s="48"/>
      <c r="N276" s="46"/>
      <c r="O276" s="41"/>
      <c r="P276" s="46"/>
      <c r="Q276" s="46"/>
    </row>
    <row r="277" ht="22.5" customHeight="1">
      <c r="A277" s="46"/>
      <c r="B277" s="8"/>
      <c r="C277" s="47"/>
      <c r="D277" s="47"/>
      <c r="E277" s="48"/>
      <c r="F277" s="46"/>
      <c r="G277" s="8"/>
      <c r="H277" s="46"/>
      <c r="I277" s="47"/>
      <c r="J277" s="47"/>
      <c r="K277" s="47"/>
      <c r="L277" s="48"/>
      <c r="M277" s="48"/>
      <c r="N277" s="46"/>
      <c r="O277" s="41"/>
      <c r="P277" s="46"/>
      <c r="Q277" s="46"/>
    </row>
    <row r="278" ht="22.5" customHeight="1">
      <c r="A278" s="46"/>
      <c r="B278" s="8"/>
      <c r="C278" s="47"/>
      <c r="D278" s="47"/>
      <c r="E278" s="48"/>
      <c r="F278" s="46"/>
      <c r="G278" s="8"/>
      <c r="H278" s="46"/>
      <c r="I278" s="47"/>
      <c r="J278" s="47"/>
      <c r="K278" s="47"/>
      <c r="L278" s="48"/>
      <c r="M278" s="48"/>
      <c r="N278" s="46"/>
      <c r="O278" s="41"/>
      <c r="P278" s="46"/>
      <c r="Q278" s="46"/>
    </row>
    <row r="279" ht="22.5" customHeight="1">
      <c r="A279" s="46"/>
      <c r="B279" s="8"/>
      <c r="C279" s="47"/>
      <c r="D279" s="47"/>
      <c r="E279" s="48"/>
      <c r="F279" s="46"/>
      <c r="G279" s="8"/>
      <c r="H279" s="46"/>
      <c r="I279" s="47"/>
      <c r="J279" s="47"/>
      <c r="K279" s="47"/>
      <c r="L279" s="48"/>
      <c r="M279" s="48"/>
      <c r="N279" s="46"/>
      <c r="O279" s="41"/>
      <c r="P279" s="46"/>
      <c r="Q279" s="46"/>
    </row>
    <row r="280" ht="22.5" customHeight="1">
      <c r="A280" s="46"/>
      <c r="B280" s="8"/>
      <c r="C280" s="47"/>
      <c r="D280" s="47"/>
      <c r="E280" s="48"/>
      <c r="F280" s="46"/>
      <c r="G280" s="8"/>
      <c r="H280" s="46"/>
      <c r="I280" s="47"/>
      <c r="J280" s="47"/>
      <c r="K280" s="47"/>
      <c r="L280" s="48"/>
      <c r="M280" s="48"/>
      <c r="N280" s="46"/>
      <c r="O280" s="41"/>
      <c r="P280" s="46"/>
      <c r="Q280" s="46"/>
    </row>
    <row r="281" ht="22.5" customHeight="1">
      <c r="A281" s="46"/>
      <c r="B281" s="8"/>
      <c r="C281" s="47"/>
      <c r="D281" s="47"/>
      <c r="E281" s="48"/>
      <c r="F281" s="46"/>
      <c r="G281" s="8"/>
      <c r="H281" s="46"/>
      <c r="I281" s="47"/>
      <c r="J281" s="47"/>
      <c r="K281" s="47"/>
      <c r="L281" s="48"/>
      <c r="M281" s="48"/>
      <c r="N281" s="46"/>
      <c r="O281" s="41"/>
      <c r="P281" s="46"/>
      <c r="Q281" s="46"/>
    </row>
    <row r="282" ht="22.5" customHeight="1">
      <c r="A282" s="46"/>
      <c r="B282" s="8"/>
      <c r="C282" s="47"/>
      <c r="D282" s="47"/>
      <c r="E282" s="48"/>
      <c r="F282" s="46"/>
      <c r="G282" s="8"/>
      <c r="H282" s="46"/>
      <c r="I282" s="47"/>
      <c r="J282" s="47"/>
      <c r="K282" s="47"/>
      <c r="L282" s="48"/>
      <c r="M282" s="48"/>
      <c r="N282" s="46"/>
      <c r="O282" s="41"/>
      <c r="P282" s="46"/>
      <c r="Q282" s="46"/>
    </row>
    <row r="283" ht="22.5" customHeight="1">
      <c r="A283" s="46"/>
      <c r="B283" s="8"/>
      <c r="C283" s="47"/>
      <c r="D283" s="47"/>
      <c r="E283" s="48"/>
      <c r="F283" s="46"/>
      <c r="G283" s="8"/>
      <c r="H283" s="46"/>
      <c r="I283" s="47"/>
      <c r="J283" s="47"/>
      <c r="K283" s="47"/>
      <c r="L283" s="48"/>
      <c r="M283" s="48"/>
      <c r="N283" s="46"/>
      <c r="O283" s="41"/>
      <c r="P283" s="46"/>
      <c r="Q283" s="46"/>
    </row>
    <row r="284" ht="22.5" customHeight="1">
      <c r="A284" s="46"/>
      <c r="B284" s="8"/>
      <c r="C284" s="47"/>
      <c r="D284" s="47"/>
      <c r="E284" s="48"/>
      <c r="F284" s="46"/>
      <c r="G284" s="8"/>
      <c r="H284" s="46"/>
      <c r="I284" s="47"/>
      <c r="J284" s="47"/>
      <c r="K284" s="47"/>
      <c r="L284" s="48"/>
      <c r="M284" s="48"/>
      <c r="N284" s="46"/>
      <c r="O284" s="41"/>
      <c r="P284" s="46"/>
      <c r="Q284" s="46"/>
    </row>
    <row r="285" ht="22.5" customHeight="1">
      <c r="A285" s="46"/>
      <c r="B285" s="8"/>
      <c r="C285" s="47"/>
      <c r="D285" s="47"/>
      <c r="E285" s="48"/>
      <c r="F285" s="46"/>
      <c r="G285" s="8"/>
      <c r="H285" s="46"/>
      <c r="I285" s="47"/>
      <c r="J285" s="47"/>
      <c r="K285" s="47"/>
      <c r="L285" s="48"/>
      <c r="M285" s="48"/>
      <c r="N285" s="46"/>
      <c r="O285" s="41"/>
      <c r="P285" s="46"/>
      <c r="Q285" s="46"/>
    </row>
    <row r="286" ht="22.5" customHeight="1">
      <c r="A286" s="46"/>
      <c r="B286" s="8"/>
      <c r="C286" s="47"/>
      <c r="D286" s="47"/>
      <c r="E286" s="48"/>
      <c r="F286" s="46"/>
      <c r="G286" s="8"/>
      <c r="H286" s="46"/>
      <c r="I286" s="47"/>
      <c r="J286" s="47"/>
      <c r="K286" s="47"/>
      <c r="L286" s="48"/>
      <c r="M286" s="48"/>
      <c r="N286" s="46"/>
      <c r="O286" s="41"/>
      <c r="P286" s="46"/>
      <c r="Q286" s="46"/>
    </row>
    <row r="287" ht="22.5" customHeight="1">
      <c r="A287" s="46"/>
      <c r="B287" s="8"/>
      <c r="C287" s="47"/>
      <c r="D287" s="47"/>
      <c r="E287" s="48"/>
      <c r="F287" s="46"/>
      <c r="G287" s="8"/>
      <c r="H287" s="46"/>
      <c r="I287" s="47"/>
      <c r="J287" s="47"/>
      <c r="K287" s="47"/>
      <c r="L287" s="48"/>
      <c r="M287" s="48"/>
      <c r="N287" s="46"/>
      <c r="O287" s="41"/>
      <c r="P287" s="46"/>
      <c r="Q287" s="46"/>
    </row>
    <row r="288" ht="22.5" customHeight="1">
      <c r="A288" s="46"/>
      <c r="B288" s="8"/>
      <c r="C288" s="47"/>
      <c r="D288" s="47"/>
      <c r="E288" s="48"/>
      <c r="F288" s="8"/>
      <c r="G288" s="8"/>
      <c r="H288" s="46"/>
      <c r="I288" s="47"/>
      <c r="J288" s="47"/>
      <c r="K288" s="47"/>
      <c r="L288" s="48"/>
      <c r="M288" s="48"/>
      <c r="N288" s="46"/>
      <c r="O288" s="41"/>
      <c r="P288" s="46"/>
      <c r="Q288" s="46"/>
    </row>
    <row r="289" ht="22.5" customHeight="1">
      <c r="A289" s="46"/>
      <c r="B289" s="8"/>
      <c r="C289" s="47"/>
      <c r="D289" s="47"/>
      <c r="E289" s="48"/>
      <c r="F289" s="46"/>
      <c r="G289" s="8"/>
      <c r="H289" s="46"/>
      <c r="I289" s="47"/>
      <c r="J289" s="47"/>
      <c r="K289" s="47"/>
      <c r="L289" s="48"/>
      <c r="M289" s="48"/>
      <c r="N289" s="46"/>
      <c r="O289" s="41"/>
      <c r="P289" s="46"/>
      <c r="Q289" s="46"/>
    </row>
    <row r="290" ht="22.5" customHeight="1">
      <c r="A290" s="46"/>
      <c r="B290" s="8"/>
      <c r="C290" s="47"/>
      <c r="D290" s="47"/>
      <c r="E290" s="48"/>
      <c r="F290" s="46"/>
      <c r="G290" s="8"/>
      <c r="H290" s="46"/>
      <c r="I290" s="47"/>
      <c r="J290" s="47"/>
      <c r="K290" s="47"/>
      <c r="L290" s="48"/>
      <c r="M290" s="48"/>
      <c r="N290" s="46"/>
      <c r="O290" s="41"/>
      <c r="P290" s="46"/>
      <c r="Q290" s="46"/>
    </row>
    <row r="291" ht="22.5" customHeight="1">
      <c r="A291" s="46"/>
      <c r="B291" s="8"/>
      <c r="C291" s="47"/>
      <c r="D291" s="47"/>
      <c r="E291" s="48"/>
      <c r="F291" s="46"/>
      <c r="G291" s="8"/>
      <c r="H291" s="46"/>
      <c r="I291" s="47"/>
      <c r="J291" s="47"/>
      <c r="K291" s="47"/>
      <c r="L291" s="48"/>
      <c r="M291" s="48"/>
      <c r="N291" s="46"/>
      <c r="O291" s="41"/>
      <c r="P291" s="46"/>
      <c r="Q291" s="46"/>
    </row>
    <row r="292" ht="22.5" customHeight="1">
      <c r="A292" s="46"/>
      <c r="B292" s="8"/>
      <c r="C292" s="47"/>
      <c r="D292" s="47"/>
      <c r="E292" s="48"/>
      <c r="F292" s="46"/>
      <c r="G292" s="8"/>
      <c r="H292" s="46"/>
      <c r="I292" s="47"/>
      <c r="J292" s="47"/>
      <c r="K292" s="47"/>
      <c r="L292" s="48"/>
      <c r="M292" s="48"/>
      <c r="N292" s="46"/>
      <c r="O292" s="41"/>
      <c r="P292" s="46"/>
      <c r="Q292" s="46"/>
    </row>
    <row r="293" ht="22.5" customHeight="1">
      <c r="A293" s="46"/>
      <c r="B293" s="8"/>
      <c r="C293" s="47"/>
      <c r="D293" s="47"/>
      <c r="E293" s="48"/>
      <c r="F293" s="46"/>
      <c r="G293" s="8"/>
      <c r="H293" s="46"/>
      <c r="I293" s="47"/>
      <c r="J293" s="47"/>
      <c r="K293" s="47"/>
      <c r="L293" s="48"/>
      <c r="M293" s="48"/>
      <c r="N293" s="46"/>
      <c r="O293" s="41"/>
      <c r="P293" s="46"/>
      <c r="Q293" s="46"/>
    </row>
    <row r="294" ht="22.5" customHeight="1">
      <c r="A294" s="46"/>
      <c r="B294" s="8"/>
      <c r="C294" s="47"/>
      <c r="D294" s="47"/>
      <c r="E294" s="48"/>
      <c r="F294" s="46"/>
      <c r="G294" s="8"/>
      <c r="H294" s="46"/>
      <c r="I294" s="47"/>
      <c r="J294" s="47"/>
      <c r="K294" s="47"/>
      <c r="L294" s="48"/>
      <c r="M294" s="48"/>
      <c r="N294" s="46"/>
      <c r="O294" s="41"/>
      <c r="P294" s="46"/>
      <c r="Q294" s="46"/>
    </row>
    <row r="295" ht="22.5" customHeight="1">
      <c r="A295" s="46"/>
      <c r="B295" s="8"/>
      <c r="C295" s="47"/>
      <c r="D295" s="47"/>
      <c r="E295" s="48"/>
      <c r="F295" s="46"/>
      <c r="G295" s="8"/>
      <c r="H295" s="46"/>
      <c r="I295" s="47"/>
      <c r="J295" s="47"/>
      <c r="K295" s="47"/>
      <c r="L295" s="48"/>
      <c r="M295" s="48"/>
      <c r="N295" s="46"/>
      <c r="O295" s="41"/>
      <c r="P295" s="46"/>
      <c r="Q295" s="46"/>
    </row>
    <row r="296" ht="22.5" customHeight="1">
      <c r="A296" s="46"/>
      <c r="B296" s="8"/>
      <c r="C296" s="47"/>
      <c r="D296" s="47"/>
      <c r="E296" s="48"/>
      <c r="F296" s="46"/>
      <c r="G296" s="8"/>
      <c r="H296" s="46"/>
      <c r="I296" s="47"/>
      <c r="J296" s="47"/>
      <c r="K296" s="47"/>
      <c r="L296" s="48"/>
      <c r="M296" s="48"/>
      <c r="N296" s="46"/>
      <c r="O296" s="41"/>
      <c r="P296" s="46"/>
      <c r="Q296" s="46"/>
    </row>
    <row r="297" ht="22.5" customHeight="1">
      <c r="A297" s="46"/>
      <c r="B297" s="8"/>
      <c r="C297" s="47"/>
      <c r="D297" s="47"/>
      <c r="E297" s="48"/>
      <c r="F297" s="46"/>
      <c r="G297" s="8"/>
      <c r="H297" s="46"/>
      <c r="I297" s="47"/>
      <c r="J297" s="47"/>
      <c r="K297" s="47"/>
      <c r="L297" s="48"/>
      <c r="M297" s="48"/>
      <c r="N297" s="46"/>
      <c r="O297" s="41"/>
      <c r="P297" s="46"/>
      <c r="Q297" s="46"/>
    </row>
    <row r="298" ht="22.5" customHeight="1">
      <c r="A298" s="46"/>
      <c r="B298" s="8"/>
      <c r="C298" s="47"/>
      <c r="D298" s="47"/>
      <c r="E298" s="48"/>
      <c r="F298" s="46"/>
      <c r="G298" s="8"/>
      <c r="H298" s="46"/>
      <c r="I298" s="47"/>
      <c r="J298" s="47"/>
      <c r="K298" s="47"/>
      <c r="L298" s="48"/>
      <c r="M298" s="48"/>
      <c r="N298" s="46"/>
      <c r="O298" s="41"/>
      <c r="P298" s="46"/>
      <c r="Q298" s="46"/>
    </row>
    <row r="299" ht="22.5" customHeight="1">
      <c r="A299" s="46"/>
      <c r="B299" s="8"/>
      <c r="C299" s="47"/>
      <c r="D299" s="47"/>
      <c r="E299" s="48"/>
      <c r="F299" s="46"/>
      <c r="G299" s="8"/>
      <c r="H299" s="46"/>
      <c r="I299" s="47"/>
      <c r="J299" s="47"/>
      <c r="K299" s="47"/>
      <c r="L299" s="48"/>
      <c r="M299" s="48"/>
      <c r="N299" s="46"/>
      <c r="O299" s="41"/>
      <c r="P299" s="46"/>
      <c r="Q299" s="46"/>
    </row>
    <row r="300" ht="22.5" customHeight="1">
      <c r="A300" s="46"/>
      <c r="B300" s="8"/>
      <c r="C300" s="47"/>
      <c r="D300" s="47"/>
      <c r="E300" s="48"/>
      <c r="F300" s="46"/>
      <c r="G300" s="8"/>
      <c r="H300" s="46"/>
      <c r="I300" s="47"/>
      <c r="J300" s="47"/>
      <c r="K300" s="47"/>
      <c r="L300" s="48"/>
      <c r="M300" s="48"/>
      <c r="N300" s="46"/>
      <c r="O300" s="41"/>
      <c r="P300" s="46"/>
      <c r="Q300" s="46"/>
    </row>
    <row r="301" ht="22.5" customHeight="1">
      <c r="A301" s="46"/>
      <c r="B301" s="8"/>
      <c r="C301" s="47"/>
      <c r="D301" s="47"/>
      <c r="E301" s="48"/>
      <c r="F301" s="46"/>
      <c r="G301" s="8"/>
      <c r="H301" s="46"/>
      <c r="I301" s="47"/>
      <c r="J301" s="47"/>
      <c r="K301" s="47"/>
      <c r="L301" s="48"/>
      <c r="M301" s="48"/>
      <c r="N301" s="46"/>
      <c r="O301" s="41"/>
      <c r="P301" s="46"/>
      <c r="Q301" s="46"/>
    </row>
    <row r="302" ht="22.5" customHeight="1">
      <c r="A302" s="46"/>
      <c r="B302" s="8"/>
      <c r="C302" s="47"/>
      <c r="D302" s="47"/>
      <c r="E302" s="48"/>
      <c r="F302" s="46"/>
      <c r="G302" s="8"/>
      <c r="H302" s="46"/>
      <c r="I302" s="47"/>
      <c r="J302" s="47"/>
      <c r="K302" s="47"/>
      <c r="L302" s="48"/>
      <c r="M302" s="48"/>
      <c r="N302" s="46"/>
      <c r="O302" s="41"/>
      <c r="P302" s="46"/>
      <c r="Q302" s="46"/>
    </row>
    <row r="303" ht="22.5" customHeight="1">
      <c r="A303" s="46"/>
      <c r="B303" s="8"/>
      <c r="C303" s="47"/>
      <c r="D303" s="47"/>
      <c r="E303" s="48"/>
      <c r="F303" s="46"/>
      <c r="G303" s="8"/>
      <c r="H303" s="46"/>
      <c r="I303" s="47"/>
      <c r="J303" s="47"/>
      <c r="K303" s="47"/>
      <c r="L303" s="48"/>
      <c r="M303" s="48"/>
      <c r="N303" s="46"/>
      <c r="O303" s="41"/>
      <c r="P303" s="46"/>
      <c r="Q303" s="46"/>
    </row>
    <row r="304" ht="22.5" customHeight="1">
      <c r="A304" s="46"/>
      <c r="B304" s="8"/>
      <c r="C304" s="47"/>
      <c r="D304" s="47"/>
      <c r="E304" s="48"/>
      <c r="F304" s="46"/>
      <c r="G304" s="46"/>
      <c r="H304" s="46"/>
      <c r="I304" s="47"/>
      <c r="J304" s="47"/>
      <c r="K304" s="47"/>
      <c r="L304" s="48"/>
      <c r="M304" s="48"/>
      <c r="N304" s="46"/>
      <c r="O304" s="41"/>
      <c r="P304" s="46"/>
      <c r="Q304" s="46"/>
    </row>
    <row r="305" ht="22.5" customHeight="1">
      <c r="A305" s="46"/>
      <c r="B305" s="8"/>
      <c r="C305" s="47"/>
      <c r="D305" s="47"/>
      <c r="E305" s="48"/>
      <c r="F305" s="46"/>
      <c r="G305" s="8"/>
      <c r="H305" s="46"/>
      <c r="I305" s="47"/>
      <c r="J305" s="47"/>
      <c r="K305" s="47"/>
      <c r="L305" s="48"/>
      <c r="M305" s="48"/>
      <c r="N305" s="46"/>
      <c r="O305" s="41"/>
      <c r="P305" s="46"/>
      <c r="Q305" s="46"/>
    </row>
    <row r="306" ht="22.5" customHeight="1">
      <c r="A306" s="46"/>
      <c r="B306" s="8"/>
      <c r="C306" s="47"/>
      <c r="D306" s="47"/>
      <c r="E306" s="48"/>
      <c r="F306" s="8"/>
      <c r="G306" s="8"/>
      <c r="H306" s="46"/>
      <c r="I306" s="47"/>
      <c r="J306" s="47"/>
      <c r="K306" s="47"/>
      <c r="L306" s="48"/>
      <c r="M306" s="48"/>
      <c r="N306" s="46"/>
      <c r="O306" s="41"/>
      <c r="P306" s="46"/>
      <c r="Q306" s="46"/>
    </row>
    <row r="307" ht="22.5" customHeight="1">
      <c r="A307" s="46"/>
      <c r="B307" s="8"/>
      <c r="C307" s="47"/>
      <c r="D307" s="47"/>
      <c r="E307" s="48"/>
      <c r="F307" s="46"/>
      <c r="G307" s="8"/>
      <c r="H307" s="46"/>
      <c r="I307" s="47"/>
      <c r="J307" s="47"/>
      <c r="K307" s="47"/>
      <c r="L307" s="48"/>
      <c r="M307" s="48"/>
      <c r="N307" s="46"/>
      <c r="O307" s="41"/>
      <c r="P307" s="46"/>
      <c r="Q307" s="46"/>
    </row>
    <row r="308" ht="22.5" customHeight="1">
      <c r="A308" s="46"/>
      <c r="B308" s="8"/>
      <c r="C308" s="47"/>
      <c r="D308" s="47"/>
      <c r="E308" s="48"/>
      <c r="F308" s="46"/>
      <c r="G308" s="8"/>
      <c r="H308" s="46"/>
      <c r="I308" s="47"/>
      <c r="J308" s="47"/>
      <c r="K308" s="47"/>
      <c r="L308" s="48"/>
      <c r="M308" s="48"/>
      <c r="N308" s="46"/>
      <c r="O308" s="41"/>
      <c r="P308" s="46"/>
      <c r="Q308" s="46"/>
    </row>
    <row r="309" ht="22.5" customHeight="1">
      <c r="A309" s="46"/>
      <c r="B309" s="8"/>
      <c r="C309" s="47"/>
      <c r="D309" s="47"/>
      <c r="E309" s="48"/>
      <c r="F309" s="46"/>
      <c r="G309" s="8"/>
      <c r="H309" s="46"/>
      <c r="I309" s="47"/>
      <c r="J309" s="47"/>
      <c r="K309" s="47"/>
      <c r="L309" s="48"/>
      <c r="M309" s="48"/>
      <c r="N309" s="46"/>
      <c r="O309" s="41"/>
      <c r="P309" s="46"/>
      <c r="Q309" s="46"/>
    </row>
    <row r="310" ht="22.5" customHeight="1">
      <c r="A310" s="46"/>
      <c r="B310" s="8"/>
      <c r="C310" s="47"/>
      <c r="D310" s="47"/>
      <c r="E310" s="48"/>
      <c r="F310" s="46"/>
      <c r="G310" s="8"/>
      <c r="H310" s="46"/>
      <c r="I310" s="47"/>
      <c r="J310" s="47"/>
      <c r="K310" s="47"/>
      <c r="L310" s="48"/>
      <c r="M310" s="48"/>
      <c r="N310" s="46"/>
      <c r="O310" s="41"/>
      <c r="P310" s="46"/>
      <c r="Q310" s="46"/>
    </row>
    <row r="311" ht="22.5" customHeight="1">
      <c r="A311" s="46"/>
      <c r="B311" s="8"/>
      <c r="C311" s="47"/>
      <c r="D311" s="47"/>
      <c r="E311" s="48"/>
      <c r="F311" s="46"/>
      <c r="G311" s="8"/>
      <c r="H311" s="46"/>
      <c r="I311" s="47"/>
      <c r="J311" s="47"/>
      <c r="K311" s="47"/>
      <c r="L311" s="48"/>
      <c r="M311" s="48"/>
      <c r="N311" s="46"/>
      <c r="O311" s="41"/>
      <c r="P311" s="46"/>
      <c r="Q311" s="46"/>
    </row>
    <row r="312" ht="22.5" customHeight="1">
      <c r="A312" s="46"/>
      <c r="B312" s="8"/>
      <c r="C312" s="47"/>
      <c r="D312" s="47"/>
      <c r="E312" s="48"/>
      <c r="F312" s="46"/>
      <c r="G312" s="8"/>
      <c r="H312" s="46"/>
      <c r="I312" s="47"/>
      <c r="J312" s="47"/>
      <c r="K312" s="47"/>
      <c r="L312" s="48"/>
      <c r="M312" s="48"/>
      <c r="N312" s="46"/>
      <c r="O312" s="41"/>
      <c r="P312" s="46"/>
      <c r="Q312" s="46"/>
    </row>
    <row r="313" ht="22.5" customHeight="1">
      <c r="A313" s="46"/>
      <c r="B313" s="8"/>
      <c r="C313" s="47"/>
      <c r="D313" s="47"/>
      <c r="E313" s="48"/>
      <c r="F313" s="46"/>
      <c r="G313" s="8"/>
      <c r="H313" s="46"/>
      <c r="I313" s="47"/>
      <c r="J313" s="47"/>
      <c r="K313" s="47"/>
      <c r="L313" s="48"/>
      <c r="M313" s="48"/>
      <c r="N313" s="46"/>
      <c r="O313" s="41"/>
      <c r="P313" s="46"/>
      <c r="Q313" s="46"/>
    </row>
    <row r="314" ht="22.5" customHeight="1">
      <c r="A314" s="46"/>
      <c r="B314" s="8"/>
      <c r="C314" s="47"/>
      <c r="D314" s="47"/>
      <c r="E314" s="48"/>
      <c r="F314" s="46"/>
      <c r="G314" s="8"/>
      <c r="H314" s="46"/>
      <c r="I314" s="47"/>
      <c r="J314" s="47"/>
      <c r="K314" s="47"/>
      <c r="L314" s="48"/>
      <c r="M314" s="48"/>
      <c r="N314" s="46"/>
      <c r="O314" s="41"/>
      <c r="P314" s="46"/>
      <c r="Q314" s="46"/>
    </row>
    <row r="315" ht="22.5" customHeight="1">
      <c r="A315" s="46"/>
      <c r="B315" s="8"/>
      <c r="C315" s="47"/>
      <c r="D315" s="47"/>
      <c r="E315" s="48"/>
      <c r="F315" s="46"/>
      <c r="G315" s="8"/>
      <c r="H315" s="46"/>
      <c r="I315" s="47"/>
      <c r="J315" s="47"/>
      <c r="K315" s="47"/>
      <c r="L315" s="48"/>
      <c r="M315" s="48"/>
      <c r="N315" s="46"/>
      <c r="O315" s="41"/>
      <c r="P315" s="46"/>
      <c r="Q315" s="46"/>
    </row>
    <row r="316" ht="22.5" customHeight="1">
      <c r="A316" s="46"/>
      <c r="B316" s="8"/>
      <c r="C316" s="47"/>
      <c r="D316" s="47"/>
      <c r="E316" s="48"/>
      <c r="F316" s="46"/>
      <c r="G316" s="8"/>
      <c r="H316" s="46"/>
      <c r="I316" s="47"/>
      <c r="J316" s="47"/>
      <c r="K316" s="47"/>
      <c r="L316" s="48"/>
      <c r="M316" s="48"/>
      <c r="N316" s="46"/>
      <c r="O316" s="41"/>
      <c r="P316" s="46"/>
      <c r="Q316" s="46"/>
    </row>
    <row r="317" ht="22.5" customHeight="1">
      <c r="A317" s="46"/>
      <c r="B317" s="8"/>
      <c r="C317" s="47"/>
      <c r="D317" s="47"/>
      <c r="E317" s="48"/>
      <c r="F317" s="46"/>
      <c r="G317" s="8"/>
      <c r="H317" s="46"/>
      <c r="I317" s="47"/>
      <c r="J317" s="47"/>
      <c r="K317" s="47"/>
      <c r="L317" s="48"/>
      <c r="M317" s="48"/>
      <c r="N317" s="46"/>
      <c r="O317" s="41"/>
      <c r="P317" s="46"/>
      <c r="Q317" s="46"/>
    </row>
    <row r="318" ht="22.5" customHeight="1">
      <c r="A318" s="46"/>
      <c r="B318" s="8"/>
      <c r="C318" s="47"/>
      <c r="D318" s="47"/>
      <c r="E318" s="48"/>
      <c r="F318" s="46"/>
      <c r="G318" s="8"/>
      <c r="H318" s="46"/>
      <c r="I318" s="47"/>
      <c r="J318" s="47"/>
      <c r="K318" s="47"/>
      <c r="L318" s="48"/>
      <c r="M318" s="48"/>
      <c r="N318" s="46"/>
      <c r="O318" s="41"/>
      <c r="P318" s="46"/>
      <c r="Q318" s="46"/>
    </row>
    <row r="319" ht="22.5" customHeight="1">
      <c r="A319" s="46"/>
      <c r="B319" s="8"/>
      <c r="C319" s="47"/>
      <c r="D319" s="47"/>
      <c r="E319" s="48"/>
      <c r="F319" s="46"/>
      <c r="G319" s="8"/>
      <c r="H319" s="46"/>
      <c r="I319" s="47"/>
      <c r="J319" s="47"/>
      <c r="K319" s="47"/>
      <c r="L319" s="48"/>
      <c r="M319" s="48"/>
      <c r="N319" s="46"/>
      <c r="O319" s="41"/>
      <c r="P319" s="46"/>
      <c r="Q319" s="46"/>
    </row>
    <row r="320" ht="22.5" customHeight="1">
      <c r="A320" s="46"/>
      <c r="B320" s="8"/>
      <c r="C320" s="47"/>
      <c r="D320" s="47"/>
      <c r="E320" s="48"/>
      <c r="F320" s="46"/>
      <c r="G320" s="8"/>
      <c r="H320" s="46"/>
      <c r="I320" s="47"/>
      <c r="J320" s="47"/>
      <c r="K320" s="47"/>
      <c r="L320" s="48"/>
      <c r="M320" s="48"/>
      <c r="N320" s="46"/>
      <c r="O320" s="41"/>
      <c r="P320" s="46"/>
      <c r="Q320" s="46"/>
    </row>
    <row r="321" ht="22.5" customHeight="1">
      <c r="A321" s="46"/>
      <c r="B321" s="8"/>
      <c r="C321" s="47"/>
      <c r="D321" s="47"/>
      <c r="E321" s="48"/>
      <c r="F321" s="46"/>
      <c r="G321" s="8"/>
      <c r="H321" s="46"/>
      <c r="I321" s="47"/>
      <c r="J321" s="47"/>
      <c r="K321" s="47"/>
      <c r="L321" s="48"/>
      <c r="M321" s="48"/>
      <c r="N321" s="46"/>
      <c r="O321" s="41"/>
      <c r="P321" s="46"/>
      <c r="Q321" s="46"/>
    </row>
    <row r="322" ht="22.5" customHeight="1">
      <c r="A322" s="46"/>
      <c r="B322" s="8"/>
      <c r="C322" s="47"/>
      <c r="D322" s="47"/>
      <c r="E322" s="48"/>
      <c r="F322" s="46"/>
      <c r="G322" s="8"/>
      <c r="H322" s="46"/>
      <c r="I322" s="47"/>
      <c r="J322" s="47"/>
      <c r="K322" s="47"/>
      <c r="L322" s="48"/>
      <c r="M322" s="48"/>
      <c r="N322" s="46"/>
      <c r="O322" s="41"/>
      <c r="P322" s="46"/>
      <c r="Q322" s="46"/>
    </row>
    <row r="323" ht="22.5" customHeight="1">
      <c r="A323" s="46"/>
      <c r="B323" s="8"/>
      <c r="C323" s="47"/>
      <c r="D323" s="47"/>
      <c r="E323" s="48"/>
      <c r="F323" s="46"/>
      <c r="G323" s="8"/>
      <c r="H323" s="46"/>
      <c r="I323" s="47"/>
      <c r="J323" s="47"/>
      <c r="K323" s="47"/>
      <c r="L323" s="48"/>
      <c r="M323" s="48"/>
      <c r="N323" s="46"/>
      <c r="O323" s="41"/>
      <c r="P323" s="46"/>
      <c r="Q323" s="46"/>
    </row>
    <row r="324" ht="22.5" customHeight="1">
      <c r="A324" s="46"/>
      <c r="B324" s="8"/>
      <c r="C324" s="47"/>
      <c r="D324" s="47"/>
      <c r="E324" s="48"/>
      <c r="F324" s="46"/>
      <c r="G324" s="8"/>
      <c r="H324" s="46"/>
      <c r="I324" s="47"/>
      <c r="J324" s="47"/>
      <c r="K324" s="47"/>
      <c r="L324" s="48"/>
      <c r="M324" s="48"/>
      <c r="N324" s="46"/>
      <c r="O324" s="41"/>
      <c r="P324" s="46"/>
      <c r="Q324" s="46"/>
    </row>
    <row r="325" ht="22.5" customHeight="1">
      <c r="A325" s="46"/>
      <c r="B325" s="8"/>
      <c r="C325" s="47"/>
      <c r="D325" s="47"/>
      <c r="E325" s="48"/>
      <c r="F325" s="46"/>
      <c r="G325" s="8"/>
      <c r="H325" s="46"/>
      <c r="I325" s="47"/>
      <c r="J325" s="47"/>
      <c r="K325" s="47"/>
      <c r="L325" s="48"/>
      <c r="M325" s="48"/>
      <c r="N325" s="46"/>
      <c r="O325" s="41"/>
      <c r="P325" s="46"/>
      <c r="Q325" s="46"/>
    </row>
    <row r="326" ht="22.5" customHeight="1">
      <c r="A326" s="46"/>
      <c r="B326" s="8"/>
      <c r="C326" s="47"/>
      <c r="D326" s="47"/>
      <c r="E326" s="48"/>
      <c r="F326" s="46"/>
      <c r="G326" s="8"/>
      <c r="H326" s="46"/>
      <c r="I326" s="47"/>
      <c r="J326" s="47"/>
      <c r="K326" s="47"/>
      <c r="L326" s="48"/>
      <c r="M326" s="48"/>
      <c r="N326" s="46"/>
      <c r="O326" s="41"/>
      <c r="P326" s="46"/>
      <c r="Q326" s="46"/>
    </row>
    <row r="327" ht="22.5" customHeight="1">
      <c r="A327" s="46"/>
      <c r="B327" s="8"/>
      <c r="C327" s="47"/>
      <c r="D327" s="47"/>
      <c r="E327" s="48"/>
      <c r="F327" s="46"/>
      <c r="G327" s="8"/>
      <c r="H327" s="46"/>
      <c r="I327" s="47"/>
      <c r="J327" s="47"/>
      <c r="K327" s="47"/>
      <c r="L327" s="48"/>
      <c r="M327" s="48"/>
      <c r="N327" s="46"/>
      <c r="O327" s="41"/>
      <c r="P327" s="46"/>
      <c r="Q327" s="46"/>
    </row>
    <row r="328" ht="22.5" customHeight="1">
      <c r="A328" s="46"/>
      <c r="B328" s="8"/>
      <c r="C328" s="47"/>
      <c r="D328" s="47"/>
      <c r="E328" s="48"/>
      <c r="F328" s="46"/>
      <c r="G328" s="8"/>
      <c r="H328" s="46"/>
      <c r="I328" s="47"/>
      <c r="J328" s="47"/>
      <c r="K328" s="47"/>
      <c r="L328" s="48"/>
      <c r="M328" s="48"/>
      <c r="N328" s="46"/>
      <c r="O328" s="41"/>
      <c r="P328" s="46"/>
      <c r="Q328" s="46"/>
    </row>
    <row r="329" ht="22.5" customHeight="1">
      <c r="A329" s="46"/>
      <c r="B329" s="8"/>
      <c r="C329" s="47"/>
      <c r="D329" s="47"/>
      <c r="E329" s="48"/>
      <c r="F329" s="46"/>
      <c r="G329" s="8"/>
      <c r="H329" s="46"/>
      <c r="I329" s="47"/>
      <c r="J329" s="47"/>
      <c r="K329" s="47"/>
      <c r="L329" s="48"/>
      <c r="M329" s="48"/>
      <c r="N329" s="46"/>
      <c r="O329" s="41"/>
      <c r="P329" s="46"/>
      <c r="Q329" s="46"/>
    </row>
    <row r="330" ht="22.5" customHeight="1">
      <c r="A330" s="46"/>
      <c r="B330" s="8"/>
      <c r="C330" s="47"/>
      <c r="D330" s="47"/>
      <c r="E330" s="48"/>
      <c r="F330" s="46"/>
      <c r="G330" s="8"/>
      <c r="H330" s="46"/>
      <c r="I330" s="47"/>
      <c r="J330" s="47"/>
      <c r="K330" s="47"/>
      <c r="L330" s="48"/>
      <c r="M330" s="48"/>
      <c r="N330" s="46"/>
      <c r="O330" s="41"/>
      <c r="P330" s="46"/>
      <c r="Q330" s="46"/>
    </row>
    <row r="331" ht="22.5" customHeight="1">
      <c r="A331" s="46"/>
      <c r="B331" s="8"/>
      <c r="C331" s="47"/>
      <c r="D331" s="47"/>
      <c r="E331" s="48"/>
      <c r="F331" s="46"/>
      <c r="G331" s="8"/>
      <c r="H331" s="46"/>
      <c r="I331" s="47"/>
      <c r="J331" s="47"/>
      <c r="K331" s="47"/>
      <c r="L331" s="48"/>
      <c r="M331" s="48"/>
      <c r="N331" s="46"/>
      <c r="O331" s="41"/>
      <c r="P331" s="46"/>
      <c r="Q331" s="46"/>
    </row>
    <row r="332" ht="22.5" customHeight="1">
      <c r="A332" s="46"/>
      <c r="B332" s="8"/>
      <c r="C332" s="47"/>
      <c r="D332" s="47"/>
      <c r="E332" s="48"/>
      <c r="F332" s="46"/>
      <c r="G332" s="8"/>
      <c r="H332" s="46"/>
      <c r="I332" s="47"/>
      <c r="J332" s="47"/>
      <c r="K332" s="47"/>
      <c r="L332" s="48"/>
      <c r="M332" s="48"/>
      <c r="N332" s="46"/>
      <c r="O332" s="41"/>
      <c r="P332" s="46"/>
      <c r="Q332" s="46"/>
    </row>
    <row r="333" ht="22.5" customHeight="1">
      <c r="A333" s="46"/>
      <c r="B333" s="8"/>
      <c r="C333" s="47"/>
      <c r="D333" s="47"/>
      <c r="E333" s="48"/>
      <c r="F333" s="46"/>
      <c r="G333" s="8"/>
      <c r="H333" s="46"/>
      <c r="I333" s="47"/>
      <c r="J333" s="47"/>
      <c r="K333" s="47"/>
      <c r="L333" s="48"/>
      <c r="M333" s="48"/>
      <c r="N333" s="46"/>
      <c r="O333" s="41"/>
      <c r="P333" s="46"/>
      <c r="Q333" s="46"/>
    </row>
    <row r="334" ht="22.5" customHeight="1">
      <c r="A334" s="46"/>
      <c r="B334" s="8"/>
      <c r="C334" s="47"/>
      <c r="D334" s="47"/>
      <c r="E334" s="48"/>
      <c r="F334" s="46"/>
      <c r="G334" s="8"/>
      <c r="H334" s="46"/>
      <c r="I334" s="47"/>
      <c r="J334" s="47"/>
      <c r="K334" s="47"/>
      <c r="L334" s="48"/>
      <c r="M334" s="48"/>
      <c r="N334" s="46"/>
      <c r="O334" s="41"/>
      <c r="P334" s="46"/>
      <c r="Q334" s="46"/>
    </row>
    <row r="335" ht="22.5" customHeight="1">
      <c r="A335" s="46"/>
      <c r="B335" s="8"/>
      <c r="C335" s="47"/>
      <c r="D335" s="47"/>
      <c r="E335" s="48"/>
      <c r="F335" s="46"/>
      <c r="G335" s="8"/>
      <c r="H335" s="46"/>
      <c r="I335" s="47"/>
      <c r="J335" s="47"/>
      <c r="K335" s="47"/>
      <c r="L335" s="48"/>
      <c r="M335" s="48"/>
      <c r="N335" s="46"/>
      <c r="O335" s="41"/>
      <c r="P335" s="46"/>
      <c r="Q335" s="46"/>
    </row>
    <row r="336" ht="22.5" customHeight="1">
      <c r="A336" s="46"/>
      <c r="B336" s="8"/>
      <c r="C336" s="47"/>
      <c r="D336" s="47"/>
      <c r="E336" s="48"/>
      <c r="F336" s="46"/>
      <c r="G336" s="8"/>
      <c r="H336" s="46"/>
      <c r="I336" s="47"/>
      <c r="J336" s="47"/>
      <c r="K336" s="47"/>
      <c r="L336" s="48"/>
      <c r="M336" s="48"/>
      <c r="N336" s="46"/>
      <c r="O336" s="41"/>
      <c r="P336" s="46"/>
      <c r="Q336" s="46"/>
    </row>
    <row r="337" ht="22.5" customHeight="1">
      <c r="A337" s="46"/>
      <c r="B337" s="8"/>
      <c r="C337" s="47"/>
      <c r="D337" s="47"/>
      <c r="E337" s="48"/>
      <c r="F337" s="46"/>
      <c r="G337" s="8"/>
      <c r="H337" s="46"/>
      <c r="I337" s="47"/>
      <c r="J337" s="47"/>
      <c r="K337" s="47"/>
      <c r="L337" s="48"/>
      <c r="M337" s="48"/>
      <c r="N337" s="46"/>
      <c r="O337" s="41"/>
      <c r="P337" s="46"/>
      <c r="Q337" s="46"/>
    </row>
    <row r="338" ht="22.5" customHeight="1">
      <c r="A338" s="46"/>
      <c r="B338" s="8"/>
      <c r="C338" s="47"/>
      <c r="D338" s="47"/>
      <c r="E338" s="48"/>
      <c r="F338" s="46"/>
      <c r="G338" s="8"/>
      <c r="H338" s="46"/>
      <c r="I338" s="47"/>
      <c r="J338" s="47"/>
      <c r="K338" s="47"/>
      <c r="L338" s="48"/>
      <c r="M338" s="48"/>
      <c r="N338" s="46"/>
      <c r="O338" s="41"/>
      <c r="P338" s="46"/>
      <c r="Q338" s="46"/>
    </row>
    <row r="339" ht="22.5" customHeight="1">
      <c r="A339" s="46"/>
      <c r="B339" s="8"/>
      <c r="C339" s="47"/>
      <c r="D339" s="47"/>
      <c r="E339" s="48"/>
      <c r="F339" s="46"/>
      <c r="G339" s="8"/>
      <c r="H339" s="46"/>
      <c r="I339" s="47"/>
      <c r="J339" s="47"/>
      <c r="K339" s="47"/>
      <c r="L339" s="48"/>
      <c r="M339" s="48"/>
      <c r="N339" s="46"/>
      <c r="O339" s="41"/>
      <c r="P339" s="46"/>
      <c r="Q339" s="46"/>
    </row>
    <row r="340" ht="22.5" customHeight="1">
      <c r="A340" s="46"/>
      <c r="B340" s="8"/>
      <c r="C340" s="47"/>
      <c r="D340" s="47"/>
      <c r="E340" s="48"/>
      <c r="F340" s="46"/>
      <c r="G340" s="8"/>
      <c r="H340" s="46"/>
      <c r="I340" s="47"/>
      <c r="J340" s="47"/>
      <c r="K340" s="47"/>
      <c r="L340" s="48"/>
      <c r="M340" s="48"/>
      <c r="N340" s="46"/>
      <c r="O340" s="41"/>
      <c r="P340" s="46"/>
      <c r="Q340" s="46"/>
    </row>
    <row r="341" ht="22.5" customHeight="1">
      <c r="A341" s="46"/>
      <c r="B341" s="8"/>
      <c r="C341" s="47"/>
      <c r="D341" s="47"/>
      <c r="E341" s="48"/>
      <c r="F341" s="46"/>
      <c r="G341" s="8"/>
      <c r="H341" s="46"/>
      <c r="I341" s="47"/>
      <c r="J341" s="47"/>
      <c r="K341" s="47"/>
      <c r="L341" s="48"/>
      <c r="M341" s="48"/>
      <c r="N341" s="46"/>
      <c r="O341" s="41"/>
      <c r="P341" s="46"/>
      <c r="Q341" s="46"/>
    </row>
    <row r="342" ht="22.5" customHeight="1">
      <c r="A342" s="46"/>
      <c r="B342" s="8"/>
      <c r="C342" s="47"/>
      <c r="D342" s="47"/>
      <c r="E342" s="48"/>
      <c r="F342" s="46"/>
      <c r="G342" s="8"/>
      <c r="H342" s="46"/>
      <c r="I342" s="47"/>
      <c r="J342" s="47"/>
      <c r="K342" s="47"/>
      <c r="L342" s="48"/>
      <c r="M342" s="48"/>
      <c r="N342" s="46"/>
      <c r="O342" s="41"/>
      <c r="P342" s="46"/>
      <c r="Q342" s="46"/>
    </row>
    <row r="343" ht="22.5" customHeight="1">
      <c r="A343" s="46"/>
      <c r="B343" s="8"/>
      <c r="C343" s="47"/>
      <c r="D343" s="47"/>
      <c r="E343" s="48"/>
      <c r="F343" s="46"/>
      <c r="G343" s="8"/>
      <c r="H343" s="46"/>
      <c r="I343" s="47"/>
      <c r="J343" s="47"/>
      <c r="K343" s="47"/>
      <c r="L343" s="48"/>
      <c r="M343" s="48"/>
      <c r="N343" s="46"/>
      <c r="O343" s="41"/>
      <c r="P343" s="46"/>
      <c r="Q343" s="46"/>
    </row>
    <row r="344" ht="22.5" customHeight="1">
      <c r="A344" s="46"/>
      <c r="B344" s="8"/>
      <c r="C344" s="47"/>
      <c r="D344" s="47"/>
      <c r="E344" s="48"/>
      <c r="F344" s="46"/>
      <c r="G344" s="8"/>
      <c r="H344" s="46"/>
      <c r="I344" s="47"/>
      <c r="J344" s="47"/>
      <c r="K344" s="47"/>
      <c r="L344" s="48"/>
      <c r="M344" s="48"/>
      <c r="N344" s="46"/>
      <c r="O344" s="41"/>
      <c r="P344" s="46"/>
      <c r="Q344" s="46"/>
    </row>
    <row r="345" ht="22.5" customHeight="1">
      <c r="A345" s="46"/>
      <c r="B345" s="8"/>
      <c r="C345" s="47"/>
      <c r="D345" s="47"/>
      <c r="E345" s="48"/>
      <c r="F345" s="46"/>
      <c r="G345" s="8"/>
      <c r="H345" s="46"/>
      <c r="I345" s="47"/>
      <c r="J345" s="47"/>
      <c r="K345" s="47"/>
      <c r="L345" s="48"/>
      <c r="M345" s="48"/>
      <c r="N345" s="46"/>
      <c r="O345" s="41"/>
      <c r="P345" s="46"/>
      <c r="Q345" s="46"/>
    </row>
    <row r="346" ht="22.5" customHeight="1">
      <c r="A346" s="46"/>
      <c r="B346" s="8"/>
      <c r="C346" s="47"/>
      <c r="D346" s="47"/>
      <c r="E346" s="48"/>
      <c r="F346" s="46"/>
      <c r="G346" s="8"/>
      <c r="H346" s="46"/>
      <c r="I346" s="47"/>
      <c r="J346" s="47"/>
      <c r="K346" s="47"/>
      <c r="L346" s="48"/>
      <c r="M346" s="48"/>
      <c r="N346" s="46"/>
      <c r="O346" s="41"/>
      <c r="P346" s="46"/>
      <c r="Q346" s="46"/>
    </row>
    <row r="347" ht="22.5" customHeight="1">
      <c r="A347" s="46"/>
      <c r="B347" s="8"/>
      <c r="C347" s="47"/>
      <c r="D347" s="47"/>
      <c r="E347" s="48"/>
      <c r="F347" s="46"/>
      <c r="G347" s="8"/>
      <c r="H347" s="46"/>
      <c r="I347" s="47"/>
      <c r="J347" s="47"/>
      <c r="K347" s="47"/>
      <c r="L347" s="48"/>
      <c r="M347" s="48"/>
      <c r="N347" s="46"/>
      <c r="O347" s="41"/>
      <c r="P347" s="46"/>
      <c r="Q347" s="46"/>
    </row>
    <row r="348" ht="22.5" customHeight="1">
      <c r="A348" s="46"/>
      <c r="B348" s="8"/>
      <c r="C348" s="47"/>
      <c r="D348" s="47"/>
      <c r="E348" s="48"/>
      <c r="F348" s="46"/>
      <c r="G348" s="8"/>
      <c r="H348" s="46"/>
      <c r="I348" s="47"/>
      <c r="J348" s="47"/>
      <c r="K348" s="47"/>
      <c r="L348" s="48"/>
      <c r="M348" s="48"/>
      <c r="N348" s="46"/>
      <c r="O348" s="41"/>
      <c r="P348" s="46"/>
      <c r="Q348" s="46"/>
    </row>
    <row r="349" ht="22.5" customHeight="1">
      <c r="A349" s="46"/>
      <c r="B349" s="8"/>
      <c r="C349" s="47"/>
      <c r="D349" s="47"/>
      <c r="E349" s="48"/>
      <c r="F349" s="46"/>
      <c r="G349" s="8"/>
      <c r="H349" s="46"/>
      <c r="I349" s="47"/>
      <c r="J349" s="47"/>
      <c r="K349" s="47"/>
      <c r="L349" s="48"/>
      <c r="M349" s="48"/>
      <c r="N349" s="46"/>
      <c r="O349" s="41"/>
      <c r="P349" s="46"/>
      <c r="Q349" s="46"/>
    </row>
    <row r="350" ht="22.5" customHeight="1">
      <c r="A350" s="46"/>
      <c r="B350" s="8"/>
      <c r="C350" s="47"/>
      <c r="D350" s="47"/>
      <c r="E350" s="48"/>
      <c r="F350" s="46"/>
      <c r="G350" s="8"/>
      <c r="H350" s="46"/>
      <c r="I350" s="47"/>
      <c r="J350" s="47"/>
      <c r="K350" s="47"/>
      <c r="L350" s="48"/>
      <c r="M350" s="48"/>
      <c r="N350" s="46"/>
      <c r="O350" s="41"/>
      <c r="P350" s="46"/>
      <c r="Q350" s="46"/>
    </row>
    <row r="351" ht="22.5" customHeight="1">
      <c r="A351" s="46"/>
      <c r="B351" s="8"/>
      <c r="C351" s="47"/>
      <c r="D351" s="47"/>
      <c r="E351" s="48"/>
      <c r="F351" s="46"/>
      <c r="G351" s="8"/>
      <c r="H351" s="46"/>
      <c r="I351" s="47"/>
      <c r="J351" s="47"/>
      <c r="K351" s="47"/>
      <c r="L351" s="48"/>
      <c r="M351" s="48"/>
      <c r="N351" s="46"/>
      <c r="O351" s="41"/>
      <c r="P351" s="46"/>
      <c r="Q351" s="46"/>
    </row>
    <row r="352" ht="22.5" customHeight="1">
      <c r="A352" s="46"/>
      <c r="B352" s="8"/>
      <c r="C352" s="47"/>
      <c r="D352" s="47"/>
      <c r="E352" s="48"/>
      <c r="F352" s="46"/>
      <c r="G352" s="8"/>
      <c r="H352" s="46"/>
      <c r="I352" s="47"/>
      <c r="J352" s="47"/>
      <c r="K352" s="47"/>
      <c r="L352" s="48"/>
      <c r="M352" s="48"/>
      <c r="N352" s="46"/>
      <c r="O352" s="41"/>
      <c r="P352" s="46"/>
      <c r="Q352" s="46"/>
    </row>
    <row r="353" ht="22.5" customHeight="1">
      <c r="A353" s="46"/>
      <c r="B353" s="8"/>
      <c r="C353" s="47"/>
      <c r="D353" s="47"/>
      <c r="E353" s="48"/>
      <c r="F353" s="46"/>
      <c r="G353" s="8"/>
      <c r="H353" s="46"/>
      <c r="I353" s="47"/>
      <c r="J353" s="47"/>
      <c r="K353" s="47"/>
      <c r="L353" s="48"/>
      <c r="M353" s="48"/>
      <c r="N353" s="46"/>
      <c r="O353" s="41"/>
      <c r="P353" s="46"/>
      <c r="Q353" s="46"/>
    </row>
    <row r="354" ht="22.5" customHeight="1">
      <c r="A354" s="46"/>
      <c r="B354" s="8"/>
      <c r="C354" s="47"/>
      <c r="D354" s="47"/>
      <c r="E354" s="48"/>
      <c r="F354" s="46"/>
      <c r="G354" s="8"/>
      <c r="H354" s="46"/>
      <c r="I354" s="47"/>
      <c r="J354" s="47"/>
      <c r="K354" s="47"/>
      <c r="L354" s="48"/>
      <c r="M354" s="48"/>
      <c r="N354" s="46"/>
      <c r="O354" s="41"/>
      <c r="P354" s="46"/>
      <c r="Q354" s="46"/>
    </row>
    <row r="355" ht="22.5" customHeight="1">
      <c r="A355" s="46"/>
      <c r="B355" s="8"/>
      <c r="C355" s="47"/>
      <c r="D355" s="47"/>
      <c r="E355" s="48"/>
      <c r="F355" s="46"/>
      <c r="G355" s="8"/>
      <c r="H355" s="46"/>
      <c r="I355" s="47"/>
      <c r="J355" s="47"/>
      <c r="K355" s="47"/>
      <c r="L355" s="48"/>
      <c r="M355" s="48"/>
      <c r="N355" s="46"/>
      <c r="O355" s="41"/>
      <c r="P355" s="46"/>
      <c r="Q355" s="46"/>
    </row>
    <row r="356" ht="22.5" customHeight="1">
      <c r="A356" s="46"/>
      <c r="B356" s="8"/>
      <c r="C356" s="47"/>
      <c r="D356" s="47"/>
      <c r="E356" s="48"/>
      <c r="F356" s="8"/>
      <c r="G356" s="8"/>
      <c r="H356" s="46"/>
      <c r="I356" s="47"/>
      <c r="J356" s="47"/>
      <c r="K356" s="47"/>
      <c r="L356" s="48"/>
      <c r="M356" s="48"/>
      <c r="N356" s="46"/>
      <c r="O356" s="41"/>
      <c r="P356" s="46"/>
      <c r="Q356" s="46"/>
    </row>
    <row r="357" ht="22.5" customHeight="1">
      <c r="A357" s="46"/>
      <c r="B357" s="8"/>
      <c r="C357" s="47"/>
      <c r="D357" s="47"/>
      <c r="E357" s="40"/>
      <c r="F357" s="8"/>
      <c r="G357" s="8"/>
      <c r="H357" s="46"/>
      <c r="I357" s="47"/>
      <c r="J357" s="47"/>
      <c r="K357" s="47"/>
      <c r="L357" s="48"/>
      <c r="M357" s="48"/>
      <c r="N357" s="46"/>
      <c r="O357" s="41"/>
      <c r="P357" s="46"/>
      <c r="Q357" s="46"/>
    </row>
    <row r="358" ht="22.5" customHeight="1">
      <c r="A358" s="46"/>
      <c r="B358" s="8"/>
      <c r="C358" s="47"/>
      <c r="D358" s="47"/>
      <c r="E358" s="40"/>
      <c r="F358" s="8"/>
      <c r="G358" s="8"/>
      <c r="H358" s="46"/>
      <c r="I358" s="47"/>
      <c r="J358" s="47"/>
      <c r="K358" s="47"/>
      <c r="L358" s="48"/>
      <c r="M358" s="48"/>
      <c r="N358" s="46"/>
      <c r="O358" s="41"/>
      <c r="P358" s="46"/>
      <c r="Q358" s="46"/>
    </row>
    <row r="359" ht="22.5" customHeight="1">
      <c r="A359" s="46"/>
      <c r="B359" s="8"/>
      <c r="C359" s="47"/>
      <c r="D359" s="47"/>
      <c r="E359" s="40"/>
      <c r="F359" s="8"/>
      <c r="G359" s="8"/>
      <c r="H359" s="46"/>
      <c r="I359" s="47"/>
      <c r="J359" s="47"/>
      <c r="K359" s="47"/>
      <c r="L359" s="48"/>
      <c r="M359" s="48"/>
      <c r="N359" s="46"/>
      <c r="O359" s="41"/>
      <c r="P359" s="46"/>
      <c r="Q359" s="46"/>
    </row>
    <row r="360" ht="22.5" customHeight="1">
      <c r="A360" s="46"/>
      <c r="B360" s="8"/>
      <c r="C360" s="47"/>
      <c r="D360" s="47"/>
      <c r="E360" s="40"/>
      <c r="F360" s="8"/>
      <c r="G360" s="8"/>
      <c r="H360" s="46"/>
      <c r="I360" s="47"/>
      <c r="J360" s="47"/>
      <c r="K360" s="47"/>
      <c r="L360" s="48"/>
      <c r="M360" s="48"/>
      <c r="N360" s="46"/>
      <c r="O360" s="41"/>
      <c r="P360" s="46"/>
      <c r="Q360" s="46"/>
    </row>
    <row r="361" ht="22.5" customHeight="1">
      <c r="A361" s="46"/>
      <c r="B361" s="8"/>
      <c r="C361" s="47"/>
      <c r="D361" s="47"/>
      <c r="E361" s="40"/>
      <c r="F361" s="8"/>
      <c r="G361" s="8"/>
      <c r="H361" s="46"/>
      <c r="I361" s="47"/>
      <c r="J361" s="47"/>
      <c r="K361" s="47"/>
      <c r="L361" s="48"/>
      <c r="M361" s="48"/>
      <c r="N361" s="46"/>
      <c r="O361" s="41"/>
      <c r="P361" s="46"/>
      <c r="Q361" s="46"/>
    </row>
    <row r="362" ht="22.5" customHeight="1">
      <c r="A362" s="46"/>
      <c r="B362" s="8"/>
      <c r="C362" s="47"/>
      <c r="D362" s="47"/>
      <c r="E362" s="40"/>
      <c r="F362" s="8"/>
      <c r="G362" s="8"/>
      <c r="H362" s="46"/>
      <c r="I362" s="47"/>
      <c r="J362" s="47"/>
      <c r="K362" s="47"/>
      <c r="L362" s="48"/>
      <c r="M362" s="48"/>
      <c r="N362" s="46"/>
      <c r="O362" s="41"/>
      <c r="P362" s="46"/>
      <c r="Q362" s="46"/>
    </row>
    <row r="363" ht="22.5" customHeight="1">
      <c r="A363" s="46"/>
      <c r="B363" s="8"/>
      <c r="C363" s="47"/>
      <c r="D363" s="47"/>
      <c r="E363" s="40"/>
      <c r="F363" s="8"/>
      <c r="G363" s="8"/>
      <c r="H363" s="46"/>
      <c r="I363" s="47"/>
      <c r="J363" s="47"/>
      <c r="K363" s="47"/>
      <c r="L363" s="40"/>
      <c r="M363" s="40"/>
      <c r="N363" s="46"/>
      <c r="O363" s="41"/>
      <c r="P363" s="46"/>
      <c r="Q363" s="46"/>
    </row>
    <row r="364" ht="22.5" customHeight="1">
      <c r="A364" s="46"/>
      <c r="B364" s="8"/>
      <c r="C364" s="47"/>
      <c r="D364" s="47"/>
      <c r="E364" s="40"/>
      <c r="F364" s="8"/>
      <c r="G364" s="8"/>
      <c r="H364" s="46"/>
      <c r="I364" s="47"/>
      <c r="J364" s="47"/>
      <c r="K364" s="47"/>
      <c r="L364" s="40"/>
      <c r="M364" s="40"/>
      <c r="N364" s="46"/>
      <c r="O364" s="41"/>
      <c r="P364" s="46"/>
      <c r="Q364" s="46"/>
    </row>
    <row r="365" ht="22.5" customHeight="1">
      <c r="A365" s="46"/>
      <c r="B365" s="8"/>
      <c r="C365" s="47"/>
      <c r="D365" s="47"/>
      <c r="E365" s="40"/>
      <c r="F365" s="8"/>
      <c r="G365" s="8"/>
      <c r="H365" s="46"/>
      <c r="I365" s="47"/>
      <c r="J365" s="47"/>
      <c r="K365" s="47"/>
      <c r="L365" s="40"/>
      <c r="M365" s="40"/>
      <c r="N365" s="46"/>
      <c r="O365" s="41"/>
      <c r="P365" s="46"/>
      <c r="Q365" s="46"/>
    </row>
    <row r="366" ht="22.5" customHeight="1">
      <c r="A366" s="50"/>
      <c r="B366" s="50"/>
      <c r="C366" s="51"/>
      <c r="D366" s="51"/>
      <c r="E366" s="52"/>
      <c r="F366" s="50"/>
      <c r="G366" s="50"/>
      <c r="H366" s="50"/>
      <c r="I366" s="51"/>
      <c r="J366" s="51"/>
      <c r="K366" s="51"/>
      <c r="L366" s="52"/>
      <c r="M366" s="52"/>
      <c r="N366" s="50"/>
      <c r="O366" s="53"/>
      <c r="P366" s="50"/>
      <c r="Q366" s="50"/>
    </row>
    <row r="367" ht="22.5" customHeight="1">
      <c r="A367" s="50"/>
      <c r="B367" s="50"/>
      <c r="C367" s="51"/>
      <c r="D367" s="51"/>
      <c r="E367" s="52"/>
      <c r="F367" s="50"/>
      <c r="G367" s="50"/>
      <c r="H367" s="50"/>
      <c r="I367" s="51"/>
      <c r="J367" s="51"/>
      <c r="K367" s="51"/>
      <c r="L367" s="52"/>
      <c r="M367" s="52"/>
      <c r="N367" s="50"/>
      <c r="O367" s="53"/>
      <c r="P367" s="50"/>
      <c r="Q367" s="50"/>
    </row>
    <row r="368" ht="22.5" customHeight="1">
      <c r="A368" s="50"/>
      <c r="B368" s="50"/>
      <c r="C368" s="51"/>
      <c r="D368" s="51"/>
      <c r="E368" s="52"/>
      <c r="F368" s="50"/>
      <c r="G368" s="50"/>
      <c r="H368" s="50"/>
      <c r="I368" s="51"/>
      <c r="J368" s="51"/>
      <c r="K368" s="51"/>
      <c r="L368" s="52"/>
      <c r="M368" s="52"/>
      <c r="N368" s="50"/>
      <c r="O368" s="53"/>
      <c r="P368" s="50"/>
      <c r="Q368" s="50"/>
    </row>
    <row r="369" ht="22.5" customHeight="1">
      <c r="A369" s="50"/>
      <c r="B369" s="50"/>
      <c r="C369" s="51"/>
      <c r="D369" s="51"/>
      <c r="E369" s="52"/>
      <c r="F369" s="50"/>
      <c r="G369" s="50"/>
      <c r="H369" s="50"/>
      <c r="I369" s="51"/>
      <c r="J369" s="51"/>
      <c r="K369" s="51"/>
      <c r="L369" s="52"/>
      <c r="M369" s="52"/>
      <c r="N369" s="50"/>
      <c r="O369" s="53"/>
      <c r="P369" s="50"/>
      <c r="Q369" s="50"/>
    </row>
    <row r="370" ht="22.5" customHeight="1">
      <c r="A370" s="50"/>
      <c r="B370" s="50"/>
      <c r="C370" s="51"/>
      <c r="D370" s="51"/>
      <c r="E370" s="52"/>
      <c r="F370" s="50"/>
      <c r="G370" s="50"/>
      <c r="H370" s="50"/>
      <c r="I370" s="51"/>
      <c r="J370" s="51"/>
      <c r="K370" s="51"/>
      <c r="L370" s="52"/>
      <c r="M370" s="52"/>
      <c r="N370" s="50"/>
      <c r="O370" s="53"/>
      <c r="P370" s="50"/>
      <c r="Q370" s="50"/>
    </row>
    <row r="371" ht="22.5" customHeight="1">
      <c r="A371" s="50"/>
      <c r="B371" s="50"/>
      <c r="C371" s="51"/>
      <c r="D371" s="51"/>
      <c r="E371" s="52"/>
      <c r="F371" s="50"/>
      <c r="G371" s="50"/>
      <c r="H371" s="50"/>
      <c r="I371" s="51"/>
      <c r="J371" s="51"/>
      <c r="K371" s="51"/>
      <c r="L371" s="52"/>
      <c r="M371" s="52"/>
      <c r="N371" s="50"/>
      <c r="O371" s="53"/>
      <c r="P371" s="50"/>
      <c r="Q371" s="50"/>
    </row>
    <row r="372" ht="22.5" customHeight="1">
      <c r="A372" s="50"/>
      <c r="B372" s="50"/>
      <c r="C372" s="51"/>
      <c r="D372" s="51"/>
      <c r="E372" s="52"/>
      <c r="F372" s="50"/>
      <c r="G372" s="50"/>
      <c r="H372" s="50"/>
      <c r="I372" s="51"/>
      <c r="J372" s="51"/>
      <c r="K372" s="51"/>
      <c r="L372" s="52"/>
      <c r="M372" s="52"/>
      <c r="N372" s="50"/>
      <c r="O372" s="53"/>
      <c r="P372" s="50"/>
      <c r="Q372" s="50"/>
    </row>
    <row r="373" ht="22.5" customHeight="1">
      <c r="A373" s="50"/>
      <c r="B373" s="50"/>
      <c r="C373" s="51"/>
      <c r="D373" s="51"/>
      <c r="E373" s="52"/>
      <c r="F373" s="50"/>
      <c r="G373" s="50"/>
      <c r="H373" s="50"/>
      <c r="I373" s="51"/>
      <c r="J373" s="51"/>
      <c r="K373" s="51"/>
      <c r="L373" s="52"/>
      <c r="M373" s="52"/>
      <c r="N373" s="50"/>
      <c r="O373" s="53"/>
      <c r="P373" s="50"/>
      <c r="Q373" s="50"/>
    </row>
    <row r="374" ht="22.5" customHeight="1">
      <c r="A374" s="50"/>
      <c r="B374" s="50"/>
      <c r="C374" s="51"/>
      <c r="D374" s="51"/>
      <c r="E374" s="52"/>
      <c r="F374" s="50"/>
      <c r="G374" s="50"/>
      <c r="H374" s="50"/>
      <c r="I374" s="51"/>
      <c r="J374" s="51"/>
      <c r="K374" s="51"/>
      <c r="L374" s="52"/>
      <c r="M374" s="52"/>
      <c r="N374" s="50"/>
      <c r="O374" s="53"/>
      <c r="P374" s="50"/>
      <c r="Q374" s="50"/>
    </row>
    <row r="375" ht="22.5" customHeight="1">
      <c r="A375" s="50"/>
      <c r="B375" s="50"/>
      <c r="C375" s="51"/>
      <c r="D375" s="51"/>
      <c r="E375" s="52"/>
      <c r="F375" s="50"/>
      <c r="G375" s="50"/>
      <c r="H375" s="50"/>
      <c r="I375" s="51"/>
      <c r="J375" s="51"/>
      <c r="K375" s="51"/>
      <c r="L375" s="52"/>
      <c r="M375" s="52"/>
      <c r="N375" s="50"/>
      <c r="O375" s="53"/>
      <c r="P375" s="50"/>
      <c r="Q375" s="50"/>
    </row>
    <row r="376" ht="22.5" customHeight="1">
      <c r="A376" s="50"/>
      <c r="B376" s="50"/>
      <c r="C376" s="51"/>
      <c r="D376" s="51"/>
      <c r="E376" s="52"/>
      <c r="F376" s="50"/>
      <c r="G376" s="50"/>
      <c r="H376" s="50"/>
      <c r="I376" s="51"/>
      <c r="J376" s="51"/>
      <c r="K376" s="51"/>
      <c r="L376" s="52"/>
      <c r="M376" s="52"/>
      <c r="N376" s="50"/>
      <c r="O376" s="53"/>
      <c r="P376" s="50"/>
      <c r="Q376" s="50"/>
    </row>
    <row r="377" ht="22.5" customHeight="1">
      <c r="A377" s="50"/>
      <c r="B377" s="50"/>
      <c r="C377" s="51"/>
      <c r="D377" s="51"/>
      <c r="E377" s="52"/>
      <c r="F377" s="50"/>
      <c r="G377" s="50"/>
      <c r="H377" s="50"/>
      <c r="I377" s="51"/>
      <c r="J377" s="51"/>
      <c r="K377" s="51"/>
      <c r="L377" s="52"/>
      <c r="M377" s="52"/>
      <c r="N377" s="50"/>
      <c r="O377" s="53"/>
      <c r="P377" s="50"/>
      <c r="Q377" s="50"/>
    </row>
    <row r="378" ht="22.5" customHeight="1">
      <c r="A378" s="50"/>
      <c r="B378" s="50"/>
      <c r="C378" s="51"/>
      <c r="D378" s="51"/>
      <c r="E378" s="52"/>
      <c r="F378" s="50"/>
      <c r="G378" s="50"/>
      <c r="H378" s="50"/>
      <c r="I378" s="51"/>
      <c r="J378" s="51"/>
      <c r="K378" s="51"/>
      <c r="L378" s="52"/>
      <c r="M378" s="52"/>
      <c r="N378" s="50"/>
      <c r="O378" s="53"/>
      <c r="P378" s="50"/>
      <c r="Q378" s="50"/>
    </row>
    <row r="379" ht="22.5" customHeight="1">
      <c r="A379" s="50"/>
      <c r="B379" s="50"/>
      <c r="C379" s="51"/>
      <c r="D379" s="51"/>
      <c r="E379" s="52"/>
      <c r="F379" s="50"/>
      <c r="G379" s="50"/>
      <c r="H379" s="50"/>
      <c r="I379" s="51"/>
      <c r="J379" s="51"/>
      <c r="K379" s="51"/>
      <c r="L379" s="52"/>
      <c r="M379" s="52"/>
      <c r="N379" s="50"/>
      <c r="O379" s="53"/>
      <c r="P379" s="50"/>
      <c r="Q379" s="50"/>
    </row>
    <row r="380" ht="22.5" customHeight="1">
      <c r="A380" s="50"/>
      <c r="B380" s="50"/>
      <c r="C380" s="51"/>
      <c r="D380" s="51"/>
      <c r="E380" s="52"/>
      <c r="F380" s="50"/>
      <c r="G380" s="50"/>
      <c r="H380" s="50"/>
      <c r="I380" s="51"/>
      <c r="J380" s="51"/>
      <c r="K380" s="51"/>
      <c r="L380" s="52"/>
      <c r="M380" s="52"/>
      <c r="N380" s="50"/>
      <c r="O380" s="53"/>
      <c r="P380" s="50"/>
      <c r="Q380" s="50"/>
    </row>
    <row r="381" ht="22.5" customHeight="1">
      <c r="A381" s="50"/>
      <c r="B381" s="50"/>
      <c r="C381" s="51"/>
      <c r="D381" s="51"/>
      <c r="E381" s="52"/>
      <c r="F381" s="50"/>
      <c r="G381" s="50"/>
      <c r="H381" s="50"/>
      <c r="I381" s="51"/>
      <c r="J381" s="51"/>
      <c r="K381" s="51"/>
      <c r="L381" s="52"/>
      <c r="M381" s="52"/>
      <c r="N381" s="50"/>
      <c r="O381" s="53"/>
      <c r="P381" s="50"/>
      <c r="Q381" s="50"/>
    </row>
    <row r="382" ht="22.5" customHeight="1">
      <c r="A382" s="50"/>
      <c r="B382" s="50"/>
      <c r="C382" s="51"/>
      <c r="D382" s="51"/>
      <c r="E382" s="52"/>
      <c r="F382" s="50"/>
      <c r="G382" s="50"/>
      <c r="H382" s="50"/>
      <c r="I382" s="51"/>
      <c r="J382" s="51"/>
      <c r="K382" s="51"/>
      <c r="L382" s="52"/>
      <c r="M382" s="52"/>
      <c r="N382" s="50"/>
      <c r="O382" s="53"/>
      <c r="P382" s="50"/>
      <c r="Q382" s="50"/>
    </row>
    <row r="383" ht="22.5" customHeight="1">
      <c r="A383" s="50"/>
      <c r="B383" s="50"/>
      <c r="C383" s="51"/>
      <c r="D383" s="51"/>
      <c r="E383" s="52"/>
      <c r="F383" s="50"/>
      <c r="G383" s="50"/>
      <c r="H383" s="50"/>
      <c r="I383" s="51"/>
      <c r="J383" s="51"/>
      <c r="K383" s="51"/>
      <c r="L383" s="52"/>
      <c r="M383" s="52"/>
      <c r="N383" s="50"/>
      <c r="O383" s="53"/>
      <c r="P383" s="50"/>
      <c r="Q383" s="50"/>
    </row>
    <row r="384" ht="22.5" customHeight="1">
      <c r="A384" s="50"/>
      <c r="B384" s="50"/>
      <c r="C384" s="51"/>
      <c r="D384" s="51"/>
      <c r="E384" s="52"/>
      <c r="F384" s="50"/>
      <c r="G384" s="50"/>
      <c r="H384" s="50"/>
      <c r="I384" s="51"/>
      <c r="J384" s="51"/>
      <c r="K384" s="51"/>
      <c r="L384" s="52"/>
      <c r="M384" s="52"/>
      <c r="N384" s="50"/>
      <c r="O384" s="53"/>
      <c r="P384" s="50"/>
      <c r="Q384" s="50"/>
    </row>
    <row r="385" ht="22.5" customHeight="1">
      <c r="A385" s="50"/>
      <c r="B385" s="50"/>
      <c r="C385" s="51"/>
      <c r="D385" s="51"/>
      <c r="E385" s="52"/>
      <c r="F385" s="50"/>
      <c r="G385" s="50"/>
      <c r="H385" s="50"/>
      <c r="I385" s="51"/>
      <c r="J385" s="51"/>
      <c r="K385" s="51"/>
      <c r="L385" s="52"/>
      <c r="M385" s="52"/>
      <c r="N385" s="50"/>
      <c r="O385" s="53"/>
      <c r="P385" s="50"/>
      <c r="Q385" s="50"/>
    </row>
    <row r="386" ht="22.5" customHeight="1">
      <c r="A386" s="50"/>
      <c r="B386" s="50"/>
      <c r="C386" s="51"/>
      <c r="D386" s="51"/>
      <c r="E386" s="52"/>
      <c r="F386" s="50"/>
      <c r="G386" s="50"/>
      <c r="H386" s="50"/>
      <c r="I386" s="51"/>
      <c r="J386" s="51"/>
      <c r="K386" s="51"/>
      <c r="L386" s="52"/>
      <c r="M386" s="52"/>
      <c r="N386" s="50"/>
      <c r="O386" s="53"/>
      <c r="P386" s="50"/>
      <c r="Q386" s="50"/>
    </row>
    <row r="387" ht="22.5" customHeight="1">
      <c r="A387" s="50"/>
      <c r="B387" s="50"/>
      <c r="C387" s="51"/>
      <c r="D387" s="51"/>
      <c r="E387" s="52"/>
      <c r="F387" s="50"/>
      <c r="G387" s="50"/>
      <c r="H387" s="50"/>
      <c r="I387" s="51"/>
      <c r="J387" s="51"/>
      <c r="K387" s="51"/>
      <c r="L387" s="52"/>
      <c r="M387" s="52"/>
      <c r="N387" s="50"/>
      <c r="O387" s="53"/>
      <c r="P387" s="50"/>
      <c r="Q387" s="50"/>
    </row>
    <row r="388" ht="22.5" customHeight="1">
      <c r="A388" s="50"/>
      <c r="B388" s="50"/>
      <c r="C388" s="51"/>
      <c r="D388" s="51"/>
      <c r="E388" s="52"/>
      <c r="F388" s="50"/>
      <c r="G388" s="50"/>
      <c r="H388" s="50"/>
      <c r="I388" s="51"/>
      <c r="J388" s="51"/>
      <c r="K388" s="51"/>
      <c r="L388" s="52"/>
      <c r="M388" s="52"/>
      <c r="N388" s="50"/>
      <c r="O388" s="53"/>
      <c r="P388" s="50"/>
      <c r="Q388" s="50"/>
    </row>
    <row r="389" ht="22.5" customHeight="1">
      <c r="A389" s="50"/>
      <c r="B389" s="50"/>
      <c r="C389" s="51"/>
      <c r="D389" s="51"/>
      <c r="E389" s="52"/>
      <c r="F389" s="50"/>
      <c r="G389" s="50"/>
      <c r="H389" s="50"/>
      <c r="I389" s="51"/>
      <c r="J389" s="51"/>
      <c r="K389" s="51"/>
      <c r="L389" s="52"/>
      <c r="M389" s="52"/>
      <c r="N389" s="50"/>
      <c r="O389" s="53"/>
      <c r="P389" s="50"/>
      <c r="Q389" s="50"/>
    </row>
    <row r="390" ht="22.5" customHeight="1">
      <c r="A390" s="50"/>
      <c r="B390" s="50"/>
      <c r="C390" s="51"/>
      <c r="D390" s="51"/>
      <c r="E390" s="52"/>
      <c r="F390" s="50"/>
      <c r="G390" s="50"/>
      <c r="H390" s="50"/>
      <c r="I390" s="51"/>
      <c r="J390" s="51"/>
      <c r="K390" s="51"/>
      <c r="L390" s="52"/>
      <c r="M390" s="52"/>
      <c r="N390" s="50"/>
      <c r="O390" s="53"/>
      <c r="P390" s="50"/>
      <c r="Q390" s="50"/>
    </row>
    <row r="391" ht="22.5" customHeight="1">
      <c r="A391" s="50"/>
      <c r="B391" s="50"/>
      <c r="C391" s="51"/>
      <c r="D391" s="51"/>
      <c r="E391" s="52"/>
      <c r="F391" s="50"/>
      <c r="G391" s="50"/>
      <c r="H391" s="50"/>
      <c r="I391" s="51"/>
      <c r="J391" s="51"/>
      <c r="K391" s="51"/>
      <c r="L391" s="52"/>
      <c r="M391" s="52"/>
      <c r="N391" s="50"/>
      <c r="O391" s="53"/>
      <c r="P391" s="50"/>
      <c r="Q391" s="50"/>
    </row>
    <row r="392" ht="22.5" customHeight="1">
      <c r="A392" s="50"/>
      <c r="B392" s="50"/>
      <c r="C392" s="51"/>
      <c r="D392" s="51"/>
      <c r="E392" s="52"/>
      <c r="F392" s="50"/>
      <c r="G392" s="50"/>
      <c r="H392" s="50"/>
      <c r="I392" s="51"/>
      <c r="J392" s="51"/>
      <c r="K392" s="51"/>
      <c r="L392" s="52"/>
      <c r="M392" s="52"/>
      <c r="N392" s="50"/>
      <c r="O392" s="53"/>
      <c r="P392" s="50"/>
      <c r="Q392" s="50"/>
    </row>
    <row r="393" ht="22.5" customHeight="1">
      <c r="A393" s="50"/>
      <c r="B393" s="50"/>
      <c r="C393" s="51"/>
      <c r="D393" s="51"/>
      <c r="E393" s="52"/>
      <c r="F393" s="50"/>
      <c r="G393" s="50"/>
      <c r="H393" s="50"/>
      <c r="I393" s="51"/>
      <c r="J393" s="51"/>
      <c r="K393" s="51"/>
      <c r="L393" s="52"/>
      <c r="M393" s="52"/>
      <c r="N393" s="50"/>
      <c r="O393" s="53"/>
      <c r="P393" s="50"/>
      <c r="Q393" s="50"/>
    </row>
    <row r="394" ht="22.5" customHeight="1">
      <c r="A394" s="50"/>
      <c r="B394" s="50"/>
      <c r="C394" s="51"/>
      <c r="D394" s="51"/>
      <c r="E394" s="52"/>
      <c r="F394" s="50"/>
      <c r="G394" s="50"/>
      <c r="H394" s="50"/>
      <c r="I394" s="51"/>
      <c r="J394" s="51"/>
      <c r="K394" s="51"/>
      <c r="L394" s="52"/>
      <c r="M394" s="52"/>
      <c r="N394" s="50"/>
      <c r="O394" s="53"/>
      <c r="P394" s="50"/>
      <c r="Q394" s="50"/>
    </row>
    <row r="395" ht="22.5" customHeight="1">
      <c r="A395" s="50"/>
      <c r="B395" s="50"/>
      <c r="C395" s="51"/>
      <c r="D395" s="51"/>
      <c r="E395" s="52"/>
      <c r="F395" s="50"/>
      <c r="G395" s="50"/>
      <c r="H395" s="50"/>
      <c r="I395" s="51"/>
      <c r="J395" s="51"/>
      <c r="K395" s="51"/>
      <c r="L395" s="52"/>
      <c r="M395" s="52"/>
      <c r="N395" s="50"/>
      <c r="O395" s="53"/>
      <c r="P395" s="50"/>
      <c r="Q395" s="50"/>
    </row>
    <row r="396" ht="22.5" customHeight="1">
      <c r="A396" s="50"/>
      <c r="B396" s="50"/>
      <c r="C396" s="51"/>
      <c r="D396" s="51"/>
      <c r="E396" s="52"/>
      <c r="F396" s="50"/>
      <c r="G396" s="50"/>
      <c r="H396" s="50"/>
      <c r="I396" s="51"/>
      <c r="J396" s="51"/>
      <c r="K396" s="51"/>
      <c r="L396" s="52"/>
      <c r="M396" s="52"/>
      <c r="N396" s="50"/>
      <c r="O396" s="53"/>
      <c r="P396" s="50"/>
      <c r="Q396" s="50"/>
    </row>
    <row r="397" ht="22.5" customHeight="1">
      <c r="A397" s="50"/>
      <c r="B397" s="50"/>
      <c r="C397" s="51"/>
      <c r="D397" s="51"/>
      <c r="E397" s="52"/>
      <c r="F397" s="50"/>
      <c r="G397" s="50"/>
      <c r="H397" s="50"/>
      <c r="I397" s="51"/>
      <c r="J397" s="51"/>
      <c r="K397" s="51"/>
      <c r="L397" s="52"/>
      <c r="M397" s="52"/>
      <c r="N397" s="50"/>
      <c r="O397" s="53"/>
      <c r="P397" s="50"/>
      <c r="Q397" s="50"/>
    </row>
    <row r="398" ht="22.5" customHeight="1">
      <c r="A398" s="50"/>
      <c r="B398" s="50"/>
      <c r="C398" s="51"/>
      <c r="D398" s="51"/>
      <c r="E398" s="52"/>
      <c r="F398" s="50"/>
      <c r="G398" s="50"/>
      <c r="H398" s="50"/>
      <c r="I398" s="51"/>
      <c r="J398" s="51"/>
      <c r="K398" s="51"/>
      <c r="L398" s="52"/>
      <c r="M398" s="52"/>
      <c r="N398" s="50"/>
      <c r="O398" s="53"/>
      <c r="P398" s="50"/>
      <c r="Q398" s="50"/>
    </row>
    <row r="399" ht="22.5" customHeight="1">
      <c r="A399" s="50"/>
      <c r="B399" s="50"/>
      <c r="C399" s="51"/>
      <c r="D399" s="51"/>
      <c r="E399" s="52"/>
      <c r="F399" s="50"/>
      <c r="G399" s="50"/>
      <c r="H399" s="50"/>
      <c r="I399" s="51"/>
      <c r="J399" s="51"/>
      <c r="K399" s="51"/>
      <c r="L399" s="52"/>
      <c r="M399" s="52"/>
      <c r="N399" s="50"/>
      <c r="O399" s="53"/>
      <c r="P399" s="50"/>
      <c r="Q399" s="50"/>
    </row>
    <row r="400" ht="22.5" customHeight="1">
      <c r="A400" s="50"/>
      <c r="B400" s="50"/>
      <c r="C400" s="51"/>
      <c r="D400" s="51"/>
      <c r="E400" s="52"/>
      <c r="F400" s="50"/>
      <c r="G400" s="50"/>
      <c r="H400" s="50"/>
      <c r="I400" s="51"/>
      <c r="J400" s="51"/>
      <c r="K400" s="51"/>
      <c r="L400" s="52"/>
      <c r="M400" s="52"/>
      <c r="N400" s="50"/>
      <c r="O400" s="53"/>
      <c r="P400" s="50"/>
      <c r="Q400" s="50"/>
    </row>
    <row r="401" ht="22.5" customHeight="1">
      <c r="A401" s="50"/>
      <c r="B401" s="50"/>
      <c r="C401" s="51"/>
      <c r="D401" s="51"/>
      <c r="E401" s="52"/>
      <c r="F401" s="50"/>
      <c r="G401" s="50"/>
      <c r="H401" s="50"/>
      <c r="I401" s="51"/>
      <c r="J401" s="51"/>
      <c r="K401" s="51"/>
      <c r="L401" s="52"/>
      <c r="M401" s="52"/>
      <c r="N401" s="50"/>
      <c r="O401" s="53"/>
      <c r="P401" s="50"/>
      <c r="Q401" s="50"/>
    </row>
    <row r="402" ht="22.5" customHeight="1">
      <c r="A402" s="50"/>
      <c r="B402" s="50"/>
      <c r="C402" s="51"/>
      <c r="D402" s="51"/>
      <c r="E402" s="52"/>
      <c r="F402" s="50"/>
      <c r="G402" s="50"/>
      <c r="H402" s="50"/>
      <c r="I402" s="51"/>
      <c r="J402" s="51"/>
      <c r="K402" s="51"/>
      <c r="L402" s="52"/>
      <c r="M402" s="52"/>
      <c r="N402" s="50"/>
      <c r="O402" s="53"/>
      <c r="P402" s="50"/>
      <c r="Q402" s="50"/>
    </row>
    <row r="403" ht="22.5" customHeight="1">
      <c r="A403" s="50"/>
      <c r="B403" s="50"/>
      <c r="C403" s="51"/>
      <c r="D403" s="51"/>
      <c r="E403" s="52"/>
      <c r="F403" s="50"/>
      <c r="G403" s="50"/>
      <c r="H403" s="50"/>
      <c r="I403" s="51"/>
      <c r="J403" s="51"/>
      <c r="K403" s="51"/>
      <c r="L403" s="52"/>
      <c r="M403" s="52"/>
      <c r="N403" s="50"/>
      <c r="O403" s="53"/>
      <c r="P403" s="50"/>
      <c r="Q403" s="50"/>
    </row>
    <row r="404" ht="22.5" customHeight="1">
      <c r="A404" s="50"/>
      <c r="B404" s="50"/>
      <c r="C404" s="51"/>
      <c r="D404" s="51"/>
      <c r="E404" s="52"/>
      <c r="F404" s="50"/>
      <c r="G404" s="50"/>
      <c r="H404" s="50"/>
      <c r="I404" s="51"/>
      <c r="J404" s="51"/>
      <c r="K404" s="51"/>
      <c r="L404" s="52"/>
      <c r="M404" s="52"/>
      <c r="N404" s="50"/>
      <c r="O404" s="53"/>
      <c r="P404" s="50"/>
      <c r="Q404" s="50"/>
    </row>
    <row r="405" ht="22.5" customHeight="1">
      <c r="A405" s="50"/>
      <c r="B405" s="50"/>
      <c r="C405" s="51"/>
      <c r="D405" s="51"/>
      <c r="E405" s="52"/>
      <c r="F405" s="50"/>
      <c r="G405" s="50"/>
      <c r="H405" s="50"/>
      <c r="I405" s="51"/>
      <c r="J405" s="51"/>
      <c r="K405" s="51"/>
      <c r="L405" s="52"/>
      <c r="M405" s="52"/>
      <c r="N405" s="50"/>
      <c r="O405" s="53"/>
      <c r="P405" s="50"/>
      <c r="Q405" s="50"/>
    </row>
    <row r="406" ht="22.5" customHeight="1">
      <c r="A406" s="50"/>
      <c r="B406" s="50"/>
      <c r="C406" s="51"/>
      <c r="D406" s="51"/>
      <c r="E406" s="52"/>
      <c r="F406" s="50"/>
      <c r="G406" s="50"/>
      <c r="H406" s="50"/>
      <c r="I406" s="51"/>
      <c r="J406" s="51"/>
      <c r="K406" s="51"/>
      <c r="L406" s="52"/>
      <c r="M406" s="52"/>
      <c r="N406" s="50"/>
      <c r="O406" s="53"/>
      <c r="P406" s="50"/>
      <c r="Q406" s="50"/>
    </row>
    <row r="407" ht="22.5" customHeight="1">
      <c r="A407" s="50"/>
      <c r="B407" s="50"/>
      <c r="C407" s="51"/>
      <c r="D407" s="51"/>
      <c r="E407" s="52"/>
      <c r="F407" s="50"/>
      <c r="G407" s="50"/>
      <c r="H407" s="50"/>
      <c r="I407" s="51"/>
      <c r="J407" s="51"/>
      <c r="K407" s="51"/>
      <c r="L407" s="52"/>
      <c r="M407" s="52"/>
      <c r="N407" s="50"/>
      <c r="O407" s="53"/>
      <c r="P407" s="50"/>
      <c r="Q407" s="50"/>
    </row>
    <row r="408" ht="22.5" customHeight="1">
      <c r="A408" s="50"/>
      <c r="B408" s="50"/>
      <c r="C408" s="51"/>
      <c r="D408" s="51"/>
      <c r="E408" s="52"/>
      <c r="F408" s="50"/>
      <c r="G408" s="50"/>
      <c r="H408" s="50"/>
      <c r="I408" s="51"/>
      <c r="J408" s="51"/>
      <c r="K408" s="51"/>
      <c r="L408" s="52"/>
      <c r="M408" s="52"/>
      <c r="N408" s="50"/>
      <c r="O408" s="53"/>
      <c r="P408" s="50"/>
      <c r="Q408" s="50"/>
    </row>
    <row r="409" ht="22.5" customHeight="1">
      <c r="A409" s="50"/>
      <c r="B409" s="50"/>
      <c r="C409" s="51"/>
      <c r="D409" s="51"/>
      <c r="E409" s="52"/>
      <c r="F409" s="50"/>
      <c r="G409" s="50"/>
      <c r="H409" s="50"/>
      <c r="I409" s="51"/>
      <c r="J409" s="51"/>
      <c r="K409" s="51"/>
      <c r="L409" s="52"/>
      <c r="M409" s="52"/>
      <c r="N409" s="50"/>
      <c r="O409" s="53"/>
      <c r="P409" s="50"/>
      <c r="Q409" s="50"/>
    </row>
    <row r="410" ht="22.5" customHeight="1">
      <c r="A410" s="50"/>
      <c r="B410" s="50"/>
      <c r="C410" s="51"/>
      <c r="D410" s="51"/>
      <c r="E410" s="52"/>
      <c r="F410" s="50"/>
      <c r="G410" s="50"/>
      <c r="H410" s="50"/>
      <c r="I410" s="51"/>
      <c r="J410" s="51"/>
      <c r="K410" s="51"/>
      <c r="L410" s="52"/>
      <c r="M410" s="52"/>
      <c r="N410" s="50"/>
      <c r="O410" s="53"/>
      <c r="P410" s="50"/>
      <c r="Q410" s="50"/>
    </row>
    <row r="411">
      <c r="G411" s="54"/>
    </row>
    <row r="412">
      <c r="G412" s="54"/>
    </row>
    <row r="413">
      <c r="G413" s="54"/>
    </row>
    <row r="414">
      <c r="G414" s="54"/>
    </row>
    <row r="415">
      <c r="G415" s="54"/>
    </row>
    <row r="416">
      <c r="G416" s="54"/>
    </row>
    <row r="417">
      <c r="G417" s="54"/>
    </row>
    <row r="418">
      <c r="G418" s="54"/>
    </row>
    <row r="419">
      <c r="G419" s="54"/>
    </row>
    <row r="420">
      <c r="G420" s="54"/>
    </row>
    <row r="421">
      <c r="G421" s="54"/>
    </row>
    <row r="422">
      <c r="G422" s="54"/>
    </row>
    <row r="423">
      <c r="G423" s="54"/>
    </row>
    <row r="424">
      <c r="G424" s="54"/>
    </row>
    <row r="425">
      <c r="G425" s="54"/>
    </row>
    <row r="426">
      <c r="G426" s="54"/>
    </row>
    <row r="427">
      <c r="G427" s="54"/>
    </row>
    <row r="428">
      <c r="G428" s="54"/>
    </row>
    <row r="429">
      <c r="G429" s="54"/>
    </row>
    <row r="430">
      <c r="G430" s="54"/>
    </row>
    <row r="431">
      <c r="G431" s="54"/>
    </row>
    <row r="432">
      <c r="G432" s="54"/>
    </row>
    <row r="433">
      <c r="G433" s="54"/>
    </row>
    <row r="434">
      <c r="G434" s="54"/>
    </row>
    <row r="435">
      <c r="G435" s="54"/>
    </row>
    <row r="436">
      <c r="G436" s="54"/>
    </row>
    <row r="437">
      <c r="G437" s="54"/>
    </row>
    <row r="438">
      <c r="G438" s="54"/>
    </row>
    <row r="439">
      <c r="G439" s="54"/>
    </row>
    <row r="440">
      <c r="G440" s="54"/>
    </row>
    <row r="441">
      <c r="G441" s="54"/>
    </row>
    <row r="442">
      <c r="G442" s="54"/>
    </row>
    <row r="443">
      <c r="G443" s="54"/>
    </row>
    <row r="444">
      <c r="G444" s="54"/>
    </row>
    <row r="445">
      <c r="G445" s="54"/>
    </row>
    <row r="446">
      <c r="G446" s="54"/>
    </row>
    <row r="447">
      <c r="G447" s="54"/>
    </row>
    <row r="448">
      <c r="G448" s="54"/>
    </row>
    <row r="449">
      <c r="G449" s="54"/>
    </row>
    <row r="450">
      <c r="G450" s="54"/>
    </row>
    <row r="451">
      <c r="G451" s="54"/>
    </row>
    <row r="452">
      <c r="G452" s="54"/>
    </row>
    <row r="453">
      <c r="G453" s="54"/>
    </row>
    <row r="454">
      <c r="G454" s="54"/>
    </row>
    <row r="455">
      <c r="G455" s="54"/>
    </row>
    <row r="456">
      <c r="G456" s="54"/>
    </row>
    <row r="457">
      <c r="G457" s="54"/>
    </row>
    <row r="458">
      <c r="G458" s="54"/>
    </row>
    <row r="459">
      <c r="G459" s="54"/>
    </row>
    <row r="460">
      <c r="G460" s="54"/>
    </row>
    <row r="461">
      <c r="G461" s="54"/>
    </row>
    <row r="462">
      <c r="G462" s="54"/>
    </row>
    <row r="463">
      <c r="G463" s="54"/>
    </row>
    <row r="464">
      <c r="G464" s="54"/>
    </row>
    <row r="465">
      <c r="G465" s="54"/>
    </row>
    <row r="466">
      <c r="G466" s="54"/>
    </row>
    <row r="467">
      <c r="G467" s="54"/>
    </row>
    <row r="468">
      <c r="G468" s="54"/>
    </row>
    <row r="469">
      <c r="G469" s="54"/>
    </row>
    <row r="470">
      <c r="G470" s="54"/>
    </row>
    <row r="471">
      <c r="G471" s="54"/>
    </row>
    <row r="472">
      <c r="G472" s="54"/>
    </row>
    <row r="473">
      <c r="G473" s="54"/>
    </row>
    <row r="474">
      <c r="G474" s="54"/>
    </row>
    <row r="475">
      <c r="G475" s="54"/>
    </row>
    <row r="476">
      <c r="G476" s="54"/>
    </row>
    <row r="477">
      <c r="G477" s="54"/>
    </row>
    <row r="478">
      <c r="G478" s="54"/>
    </row>
    <row r="479">
      <c r="G479" s="54"/>
    </row>
    <row r="480">
      <c r="G480" s="54"/>
    </row>
    <row r="481">
      <c r="G481" s="54"/>
    </row>
    <row r="482">
      <c r="G482" s="54"/>
    </row>
    <row r="483">
      <c r="G483" s="54"/>
    </row>
    <row r="484">
      <c r="G484" s="54"/>
    </row>
    <row r="485">
      <c r="G485" s="54"/>
    </row>
    <row r="486">
      <c r="G486" s="54"/>
    </row>
    <row r="487">
      <c r="G487" s="54"/>
    </row>
    <row r="488">
      <c r="G488" s="54"/>
    </row>
    <row r="489">
      <c r="G489" s="54"/>
    </row>
    <row r="490">
      <c r="G490" s="54"/>
    </row>
    <row r="491">
      <c r="G491" s="54"/>
    </row>
    <row r="492">
      <c r="G492" s="54"/>
    </row>
    <row r="493">
      <c r="G493" s="54"/>
    </row>
    <row r="494">
      <c r="G494" s="54"/>
    </row>
    <row r="495">
      <c r="G495" s="54"/>
    </row>
    <row r="496">
      <c r="G496" s="54"/>
    </row>
    <row r="497">
      <c r="G497" s="54"/>
    </row>
    <row r="498">
      <c r="G498" s="54"/>
    </row>
    <row r="499">
      <c r="G499" s="54"/>
    </row>
    <row r="500">
      <c r="G500" s="54"/>
    </row>
    <row r="501">
      <c r="G501" s="54"/>
    </row>
    <row r="502">
      <c r="G502" s="54"/>
    </row>
    <row r="503">
      <c r="G503" s="54"/>
    </row>
    <row r="504">
      <c r="G504" s="54"/>
    </row>
    <row r="505">
      <c r="G505" s="54"/>
    </row>
    <row r="506">
      <c r="G506" s="54"/>
    </row>
    <row r="507">
      <c r="G507" s="54"/>
    </row>
    <row r="508">
      <c r="G508" s="54"/>
    </row>
    <row r="509">
      <c r="G509" s="54"/>
    </row>
    <row r="510">
      <c r="G510" s="54"/>
    </row>
    <row r="511">
      <c r="G511" s="54"/>
    </row>
    <row r="512">
      <c r="G512" s="54"/>
    </row>
    <row r="513">
      <c r="G513" s="54"/>
    </row>
    <row r="514">
      <c r="G514" s="54"/>
    </row>
    <row r="515">
      <c r="G515" s="54"/>
    </row>
    <row r="516">
      <c r="G516" s="54"/>
    </row>
    <row r="517">
      <c r="G517" s="54"/>
    </row>
    <row r="518">
      <c r="G518" s="54"/>
    </row>
    <row r="519">
      <c r="G519" s="54"/>
    </row>
    <row r="520">
      <c r="G520" s="54"/>
    </row>
    <row r="521">
      <c r="G521" s="54"/>
    </row>
    <row r="522">
      <c r="G522" s="54"/>
    </row>
    <row r="523">
      <c r="G523" s="54"/>
    </row>
    <row r="524">
      <c r="G524" s="54"/>
    </row>
    <row r="525">
      <c r="G525" s="54"/>
    </row>
    <row r="526">
      <c r="G526" s="54"/>
    </row>
    <row r="527">
      <c r="G527" s="54"/>
    </row>
    <row r="528">
      <c r="G528" s="54"/>
    </row>
    <row r="529">
      <c r="G529" s="54"/>
    </row>
    <row r="530">
      <c r="G530" s="54"/>
    </row>
    <row r="531">
      <c r="G531" s="54"/>
    </row>
    <row r="532">
      <c r="G532" s="54"/>
    </row>
    <row r="533">
      <c r="G533" s="54"/>
    </row>
    <row r="534">
      <c r="G534" s="54"/>
    </row>
    <row r="535">
      <c r="G535" s="54"/>
    </row>
    <row r="536">
      <c r="G536" s="54"/>
    </row>
    <row r="537">
      <c r="G537" s="54"/>
    </row>
    <row r="538">
      <c r="G538" s="54"/>
    </row>
    <row r="539">
      <c r="G539" s="54"/>
    </row>
    <row r="540">
      <c r="G540" s="54"/>
    </row>
    <row r="541">
      <c r="G541" s="54"/>
    </row>
    <row r="542">
      <c r="G542" s="54"/>
    </row>
    <row r="543">
      <c r="G543" s="54"/>
    </row>
    <row r="544">
      <c r="G544" s="54"/>
    </row>
    <row r="545">
      <c r="G545" s="54"/>
    </row>
    <row r="546">
      <c r="G546" s="54"/>
    </row>
    <row r="547">
      <c r="G547" s="54"/>
    </row>
    <row r="548">
      <c r="G548" s="54"/>
    </row>
    <row r="549">
      <c r="G549" s="54"/>
    </row>
    <row r="550">
      <c r="G550" s="54"/>
    </row>
    <row r="551">
      <c r="G551" s="54"/>
    </row>
    <row r="552">
      <c r="G552" s="54"/>
    </row>
    <row r="553">
      <c r="G553" s="54"/>
    </row>
    <row r="554">
      <c r="G554" s="54"/>
    </row>
    <row r="555">
      <c r="G555" s="54"/>
    </row>
    <row r="556">
      <c r="G556" s="54"/>
    </row>
    <row r="557">
      <c r="G557" s="54"/>
    </row>
    <row r="558">
      <c r="G558" s="54"/>
    </row>
    <row r="559">
      <c r="G559" s="54"/>
    </row>
    <row r="560">
      <c r="G560" s="54"/>
    </row>
    <row r="561">
      <c r="G561" s="54"/>
    </row>
    <row r="562">
      <c r="G562" s="54"/>
    </row>
    <row r="563">
      <c r="G563" s="54"/>
    </row>
    <row r="564">
      <c r="G564" s="54"/>
    </row>
    <row r="565">
      <c r="G565" s="54"/>
    </row>
    <row r="566">
      <c r="G566" s="54"/>
    </row>
    <row r="567">
      <c r="G567" s="54"/>
    </row>
    <row r="568">
      <c r="G568" s="54"/>
    </row>
    <row r="569">
      <c r="G569" s="54"/>
    </row>
    <row r="570">
      <c r="G570" s="54"/>
    </row>
    <row r="571">
      <c r="G571" s="54"/>
    </row>
    <row r="572">
      <c r="G572" s="54"/>
    </row>
    <row r="573">
      <c r="G573" s="54"/>
    </row>
    <row r="574">
      <c r="G574" s="54"/>
    </row>
    <row r="575">
      <c r="G575" s="54"/>
    </row>
    <row r="576">
      <c r="G576" s="54"/>
    </row>
    <row r="577">
      <c r="G577" s="54"/>
    </row>
    <row r="578">
      <c r="G578" s="54"/>
    </row>
    <row r="579">
      <c r="G579" s="54"/>
    </row>
    <row r="580">
      <c r="G580" s="54"/>
    </row>
    <row r="581">
      <c r="G581" s="54"/>
    </row>
    <row r="582">
      <c r="G582" s="54"/>
    </row>
    <row r="583">
      <c r="G583" s="54"/>
    </row>
    <row r="584">
      <c r="G584" s="54"/>
    </row>
    <row r="585">
      <c r="G585" s="54"/>
    </row>
    <row r="586">
      <c r="G586" s="54"/>
    </row>
    <row r="587">
      <c r="G587" s="54"/>
    </row>
    <row r="588">
      <c r="G588" s="54"/>
    </row>
    <row r="589">
      <c r="G589" s="54"/>
    </row>
    <row r="590">
      <c r="G590" s="54"/>
    </row>
    <row r="591">
      <c r="G591" s="54"/>
    </row>
    <row r="592">
      <c r="G592" s="54"/>
    </row>
    <row r="593">
      <c r="G593" s="54"/>
    </row>
    <row r="594">
      <c r="G594" s="54"/>
    </row>
    <row r="595">
      <c r="G595" s="54"/>
    </row>
    <row r="596">
      <c r="G596" s="54"/>
    </row>
    <row r="597">
      <c r="G597" s="54"/>
    </row>
    <row r="598">
      <c r="G598" s="54"/>
    </row>
    <row r="599">
      <c r="G599" s="54"/>
    </row>
    <row r="600">
      <c r="G600" s="54"/>
    </row>
    <row r="601">
      <c r="G601" s="54"/>
    </row>
    <row r="602">
      <c r="G602" s="54"/>
    </row>
    <row r="603">
      <c r="G603" s="54"/>
    </row>
    <row r="604">
      <c r="G604" s="54"/>
    </row>
    <row r="605">
      <c r="G605" s="54"/>
    </row>
    <row r="606">
      <c r="G606" s="54"/>
    </row>
    <row r="607">
      <c r="G607" s="54"/>
    </row>
    <row r="608">
      <c r="G608" s="54"/>
    </row>
    <row r="609">
      <c r="G609" s="54"/>
    </row>
    <row r="610">
      <c r="G610" s="54"/>
    </row>
    <row r="611">
      <c r="G611" s="54"/>
    </row>
    <row r="612">
      <c r="G612" s="54"/>
    </row>
    <row r="613">
      <c r="G613" s="54"/>
    </row>
    <row r="614">
      <c r="G614" s="54"/>
    </row>
    <row r="615">
      <c r="G615" s="54"/>
    </row>
    <row r="616">
      <c r="G616" s="54"/>
    </row>
    <row r="617">
      <c r="G617" s="54"/>
    </row>
    <row r="618">
      <c r="G618" s="54"/>
    </row>
    <row r="619">
      <c r="G619" s="54"/>
    </row>
    <row r="620">
      <c r="G620" s="54"/>
    </row>
    <row r="621">
      <c r="G621" s="54"/>
    </row>
    <row r="622">
      <c r="G622" s="54"/>
    </row>
    <row r="623">
      <c r="G623" s="54"/>
    </row>
    <row r="624">
      <c r="G624" s="54"/>
    </row>
    <row r="625">
      <c r="G625" s="54"/>
    </row>
    <row r="626">
      <c r="G626" s="54"/>
    </row>
    <row r="627">
      <c r="G627" s="54"/>
    </row>
    <row r="628">
      <c r="G628" s="54"/>
    </row>
    <row r="629">
      <c r="G629" s="54"/>
    </row>
    <row r="630">
      <c r="G630" s="54"/>
    </row>
    <row r="631">
      <c r="G631" s="54"/>
    </row>
    <row r="632">
      <c r="G632" s="54"/>
    </row>
    <row r="633">
      <c r="G633" s="54"/>
    </row>
    <row r="634">
      <c r="G634" s="54"/>
    </row>
    <row r="635">
      <c r="G635" s="54"/>
    </row>
    <row r="636">
      <c r="G636" s="54"/>
    </row>
    <row r="637">
      <c r="G637" s="54"/>
    </row>
    <row r="638">
      <c r="G638" s="54"/>
    </row>
    <row r="639">
      <c r="G639" s="54"/>
    </row>
    <row r="640">
      <c r="G640" s="54"/>
    </row>
    <row r="641">
      <c r="G641" s="54"/>
    </row>
    <row r="642">
      <c r="G642" s="54"/>
    </row>
    <row r="643">
      <c r="G643" s="54"/>
    </row>
    <row r="644">
      <c r="G644" s="54"/>
    </row>
    <row r="645">
      <c r="G645" s="54"/>
    </row>
    <row r="646">
      <c r="G646" s="54"/>
    </row>
    <row r="647">
      <c r="G647" s="54"/>
    </row>
    <row r="648">
      <c r="G648" s="54"/>
    </row>
    <row r="649">
      <c r="G649" s="54"/>
    </row>
    <row r="650">
      <c r="G650" s="54"/>
    </row>
    <row r="651">
      <c r="G651" s="54"/>
    </row>
    <row r="652">
      <c r="G652" s="54"/>
    </row>
    <row r="653">
      <c r="G653" s="54"/>
    </row>
    <row r="654">
      <c r="G654" s="54"/>
    </row>
    <row r="655">
      <c r="G655" s="54"/>
    </row>
    <row r="656">
      <c r="G656" s="54"/>
    </row>
    <row r="657">
      <c r="G657" s="54"/>
    </row>
    <row r="658">
      <c r="G658" s="54"/>
    </row>
    <row r="659">
      <c r="G659" s="54"/>
    </row>
    <row r="660">
      <c r="G660" s="54"/>
    </row>
    <row r="661">
      <c r="G661" s="54"/>
    </row>
    <row r="662">
      <c r="G662" s="54"/>
    </row>
    <row r="663">
      <c r="G663" s="54"/>
    </row>
    <row r="664">
      <c r="G664" s="54"/>
    </row>
    <row r="665">
      <c r="G665" s="54"/>
    </row>
    <row r="666">
      <c r="G666" s="54"/>
    </row>
    <row r="667">
      <c r="G667" s="54"/>
    </row>
    <row r="668">
      <c r="G668" s="54"/>
    </row>
    <row r="669">
      <c r="G669" s="54"/>
    </row>
    <row r="670">
      <c r="G670" s="54"/>
    </row>
    <row r="671">
      <c r="G671" s="54"/>
    </row>
    <row r="672">
      <c r="G672" s="54"/>
    </row>
    <row r="673">
      <c r="G673" s="54"/>
    </row>
    <row r="674">
      <c r="G674" s="54"/>
    </row>
    <row r="675">
      <c r="G675" s="54"/>
    </row>
    <row r="676">
      <c r="G676" s="54"/>
    </row>
    <row r="677">
      <c r="G677" s="54"/>
    </row>
    <row r="678">
      <c r="G678" s="54"/>
    </row>
    <row r="679">
      <c r="G679" s="54"/>
    </row>
    <row r="680">
      <c r="G680" s="54"/>
    </row>
    <row r="681">
      <c r="G681" s="54"/>
    </row>
    <row r="682">
      <c r="G682" s="54"/>
    </row>
    <row r="683">
      <c r="G683" s="54"/>
    </row>
    <row r="684">
      <c r="G684" s="54"/>
    </row>
    <row r="685">
      <c r="G685" s="54"/>
    </row>
    <row r="686">
      <c r="G686" s="54"/>
    </row>
    <row r="687">
      <c r="G687" s="54"/>
    </row>
    <row r="688">
      <c r="G688" s="54"/>
    </row>
    <row r="689">
      <c r="G689" s="54"/>
    </row>
    <row r="690">
      <c r="G690" s="54"/>
    </row>
    <row r="691">
      <c r="G691" s="54"/>
    </row>
    <row r="692">
      <c r="G692" s="54"/>
    </row>
    <row r="693">
      <c r="G693" s="54"/>
    </row>
    <row r="694">
      <c r="G694" s="54"/>
    </row>
    <row r="695">
      <c r="G695" s="54"/>
    </row>
    <row r="696">
      <c r="G696" s="54"/>
    </row>
    <row r="697">
      <c r="G697" s="54"/>
    </row>
    <row r="698">
      <c r="G698" s="54"/>
    </row>
    <row r="699">
      <c r="G699" s="54"/>
    </row>
    <row r="700">
      <c r="G700" s="54"/>
    </row>
    <row r="701">
      <c r="G701" s="54"/>
    </row>
    <row r="702">
      <c r="G702" s="54"/>
    </row>
    <row r="703">
      <c r="G703" s="54"/>
    </row>
    <row r="704">
      <c r="G704" s="54"/>
    </row>
    <row r="705">
      <c r="G705" s="54"/>
    </row>
    <row r="706">
      <c r="G706" s="54"/>
    </row>
    <row r="707">
      <c r="G707" s="54"/>
    </row>
    <row r="708">
      <c r="G708" s="54"/>
    </row>
    <row r="709">
      <c r="G709" s="54"/>
    </row>
    <row r="710">
      <c r="G710" s="54"/>
    </row>
    <row r="711">
      <c r="G711" s="54"/>
    </row>
    <row r="712">
      <c r="G712" s="54"/>
    </row>
    <row r="713">
      <c r="G713" s="54"/>
    </row>
    <row r="714">
      <c r="G714" s="54"/>
    </row>
    <row r="715">
      <c r="G715" s="54"/>
    </row>
    <row r="716">
      <c r="G716" s="54"/>
    </row>
    <row r="717">
      <c r="G717" s="54"/>
    </row>
    <row r="718">
      <c r="G718" s="54"/>
    </row>
    <row r="719">
      <c r="G719" s="54"/>
    </row>
    <row r="720">
      <c r="G720" s="54"/>
    </row>
    <row r="721">
      <c r="G721" s="54"/>
    </row>
    <row r="722">
      <c r="G722" s="54"/>
    </row>
    <row r="723">
      <c r="G723" s="54"/>
    </row>
    <row r="724">
      <c r="G724" s="54"/>
    </row>
    <row r="725">
      <c r="G725" s="54"/>
    </row>
    <row r="726">
      <c r="G726" s="54"/>
    </row>
    <row r="727">
      <c r="G727" s="54"/>
    </row>
    <row r="728">
      <c r="G728" s="54"/>
    </row>
    <row r="729">
      <c r="G729" s="54"/>
    </row>
    <row r="730">
      <c r="G730" s="54"/>
    </row>
    <row r="731">
      <c r="G731" s="54"/>
    </row>
    <row r="732">
      <c r="G732" s="54"/>
    </row>
    <row r="733">
      <c r="G733" s="54"/>
    </row>
    <row r="734">
      <c r="G734" s="54"/>
    </row>
    <row r="735">
      <c r="G735" s="54"/>
    </row>
    <row r="736">
      <c r="G736" s="54"/>
    </row>
    <row r="737">
      <c r="G737" s="54"/>
    </row>
    <row r="738">
      <c r="G738" s="54"/>
    </row>
    <row r="739">
      <c r="G739" s="54"/>
    </row>
    <row r="740">
      <c r="G740" s="54"/>
    </row>
    <row r="741">
      <c r="G741" s="54"/>
    </row>
    <row r="742">
      <c r="G742" s="54"/>
    </row>
    <row r="743">
      <c r="G743" s="54"/>
    </row>
    <row r="744">
      <c r="G744" s="54"/>
    </row>
    <row r="745">
      <c r="G745" s="54"/>
    </row>
    <row r="746">
      <c r="G746" s="54"/>
    </row>
    <row r="747">
      <c r="G747" s="54"/>
    </row>
    <row r="748">
      <c r="G748" s="54"/>
    </row>
    <row r="749">
      <c r="G749" s="54"/>
    </row>
    <row r="750">
      <c r="G750" s="54"/>
    </row>
    <row r="751">
      <c r="G751" s="54"/>
    </row>
    <row r="752">
      <c r="G752" s="54"/>
    </row>
    <row r="753">
      <c r="G753" s="54"/>
    </row>
    <row r="754">
      <c r="G754" s="54"/>
    </row>
    <row r="755">
      <c r="G755" s="54"/>
    </row>
    <row r="756">
      <c r="G756" s="54"/>
    </row>
    <row r="757">
      <c r="G757" s="54"/>
    </row>
    <row r="758">
      <c r="G758" s="54"/>
    </row>
    <row r="759">
      <c r="G759" s="54"/>
    </row>
    <row r="760">
      <c r="G760" s="54"/>
    </row>
    <row r="761">
      <c r="G761" s="54"/>
    </row>
    <row r="762">
      <c r="G762" s="54"/>
    </row>
    <row r="763">
      <c r="G763" s="54"/>
    </row>
    <row r="764">
      <c r="G764" s="54"/>
    </row>
    <row r="765">
      <c r="G765" s="54"/>
    </row>
    <row r="766">
      <c r="G766" s="54"/>
    </row>
    <row r="767">
      <c r="G767" s="54"/>
    </row>
    <row r="768">
      <c r="G768" s="54"/>
    </row>
    <row r="769">
      <c r="G769" s="54"/>
    </row>
    <row r="770">
      <c r="G770" s="54"/>
    </row>
    <row r="771">
      <c r="G771" s="54"/>
    </row>
    <row r="772">
      <c r="G772" s="54"/>
    </row>
    <row r="773">
      <c r="G773" s="54"/>
    </row>
    <row r="774">
      <c r="G774" s="54"/>
    </row>
    <row r="775">
      <c r="G775" s="54"/>
    </row>
    <row r="776">
      <c r="G776" s="54"/>
    </row>
    <row r="777">
      <c r="G777" s="54"/>
    </row>
    <row r="778">
      <c r="G778" s="54"/>
    </row>
    <row r="779">
      <c r="G779" s="54"/>
    </row>
    <row r="780">
      <c r="G780" s="54"/>
    </row>
    <row r="781">
      <c r="G781" s="54"/>
    </row>
    <row r="782">
      <c r="G782" s="54"/>
    </row>
    <row r="783">
      <c r="G783" s="54"/>
    </row>
    <row r="784">
      <c r="G784" s="54"/>
    </row>
    <row r="785">
      <c r="G785" s="54"/>
    </row>
    <row r="786">
      <c r="G786" s="54"/>
    </row>
    <row r="787">
      <c r="G787" s="54"/>
    </row>
    <row r="788">
      <c r="G788" s="54"/>
    </row>
    <row r="789">
      <c r="G789" s="54"/>
    </row>
    <row r="790">
      <c r="G790" s="54"/>
    </row>
    <row r="791">
      <c r="G791" s="54"/>
    </row>
    <row r="792">
      <c r="G792" s="54"/>
    </row>
    <row r="793">
      <c r="G793" s="54"/>
    </row>
    <row r="794">
      <c r="G794" s="54"/>
    </row>
    <row r="795">
      <c r="G795" s="54"/>
    </row>
    <row r="796">
      <c r="G796" s="54"/>
    </row>
    <row r="797">
      <c r="G797" s="54"/>
    </row>
    <row r="798">
      <c r="G798" s="54"/>
    </row>
    <row r="799">
      <c r="G799" s="54"/>
    </row>
    <row r="800">
      <c r="G800" s="54"/>
    </row>
    <row r="801">
      <c r="G801" s="54"/>
    </row>
    <row r="802">
      <c r="G802" s="54"/>
    </row>
    <row r="803">
      <c r="G803" s="54"/>
    </row>
    <row r="804">
      <c r="G804" s="54"/>
    </row>
    <row r="805">
      <c r="G805" s="54"/>
    </row>
    <row r="806">
      <c r="G806" s="54"/>
    </row>
    <row r="807">
      <c r="G807" s="54"/>
    </row>
    <row r="808">
      <c r="G808" s="54"/>
    </row>
    <row r="809">
      <c r="G809" s="54"/>
    </row>
    <row r="810">
      <c r="G810" s="54"/>
    </row>
    <row r="811">
      <c r="G811" s="54"/>
    </row>
    <row r="812">
      <c r="G812" s="54"/>
    </row>
    <row r="813">
      <c r="G813" s="54"/>
    </row>
    <row r="814">
      <c r="G814" s="54"/>
    </row>
    <row r="815">
      <c r="G815" s="54"/>
    </row>
    <row r="816">
      <c r="G816" s="54"/>
    </row>
    <row r="817">
      <c r="G817" s="54"/>
    </row>
    <row r="818">
      <c r="G818" s="54"/>
    </row>
    <row r="819">
      <c r="G819" s="54"/>
    </row>
    <row r="820">
      <c r="G820" s="54"/>
    </row>
    <row r="821">
      <c r="G821" s="54"/>
    </row>
    <row r="822">
      <c r="G822" s="54"/>
    </row>
  </sheetData>
  <dataValidations>
    <dataValidation type="list" allowBlank="1" sqref="K3:K410">
      <formula1>"Not Specified,Patented,Registration Filed"</formula1>
    </dataValidation>
    <dataValidation type="list" allowBlank="1" sqref="D3:D410">
      <formula1>"Agriculture ,Biotechnology &amp; Life Sciences,Food Technology,Advanced Materials &amp; Chemicals,MedTech &amp; Health Care,Robotics, Automation &amp; Drones,Infrastructure, Construction &amp; Smart Cities,Digital Technologies, AI &amp; Software,Consumer &amp; Lifestyle Products,Ene"&amp;"rgy, Climate &amp; Sustainability,Water, Environment &amp; Waste Management"</formula1>
    </dataValidation>
    <dataValidation type="list" allowBlank="1" sqref="I3:I410">
      <formula1>"High,Medium,Not Specified"</formula1>
    </dataValidation>
    <dataValidation type="custom" allowBlank="1" showDropDown="1" sqref="O3:O410">
      <formula1>AND(ISNUMBER(O3),(NOT(OR(NOT(ISERROR(DATEVALUE(O3))), AND(ISNUMBER(O3), LEFT(CELL("format", O3))="D")))))</formula1>
    </dataValidation>
    <dataValidation allowBlank="1" showDropDown="1" sqref="E3:E410 L3:M410"/>
    <dataValidation type="list" allowBlank="1" sqref="J3:J410">
      <formula1>"TRL 7-9,TRL 5-7,TRL 6-8,TRL 8-9,TRL,Not Specified,TRL 9"</formula1>
    </dataValidation>
    <dataValidation type="list" allowBlank="1" sqref="C3:C410">
      <formula1>"ICAR-CPCRI Kasaragod,ICAR-Central Tuber Crops Research Institute (CTCRI) Thiruvananthapuram,CSIR-National Institute for Interdisciplinary Science and Technology (NIIST),CSIR-National Institute for Interdisciplinary Science and Technology (NIIST),Kerala Un"&amp;"iversity of Fisheries and Ocean Studies (KUFOS),Kerala Agricultural University,ICAR-Indian Institute of Spices Research (IISR),Centre for Development of Advanced Computing (C-DAC),Sree Chitra Tirunal Institute for Medical Sciences and Technology (SCTIMST)"&amp;",C-MET Kerala,ICAR-Sugarcane Breeding Institute Research Centre, Kannur,National Coir Research &amp; Management Institute (NCRMI),Institute of Advanced Virology (IAV),KSCSTE- Jawaharlal Nehru Tropical Botanic Garden &amp; Research Institute (JNTBGRI),KSCSTE- Mala"&amp;"bar Botanical Garden &amp; Institute for Plant Sciences (MBGIPS),KSCSTE- Kerala Forest Research Institute (KFRI),KSCSTE- Centre for Water Resources Development and Management (CWRDM),KSCSTE-Institute for Climate Change Studies,Integrated Rural Technology cent"&amp;"re (IRTC) ,KSCSTE - Srinivasa Ramanujan Institute for Basic Sciences,KSCSTE - National Transportation Planning and Research Centre (NATPAC),KSCSTE - Sophisticated Test and Instrumentation Centre (STIC),Centre of Excellence in Nutraceuticals (CoEN),KSCSTE-"&amp;" Centre of Excellence in Microbiome (CoEM)"</formula1>
    </dataValidation>
  </dataValidations>
  <hyperlinks>
    <hyperlink r:id="rId1" ref="Q18"/>
    <hyperlink r:id="rId2" ref="Q19"/>
    <hyperlink r:id="rId3" ref="Q20"/>
    <hyperlink r:id="rId4" ref="Q21"/>
    <hyperlink r:id="rId5" ref="Q22"/>
    <hyperlink r:id="rId6" ref="Q23"/>
    <hyperlink r:id="rId7" ref="Q24"/>
    <hyperlink r:id="rId8" ref="Q32"/>
    <hyperlink r:id="rId9" ref="Q35"/>
    <hyperlink r:id="rId10" ref="Q36"/>
    <hyperlink r:id="rId11" ref="Q67"/>
    <hyperlink r:id="rId12" ref="Q68"/>
    <hyperlink r:id="rId13" ref="Q69"/>
    <hyperlink r:id="rId14" ref="Q70"/>
    <hyperlink r:id="rId15" ref="Q72"/>
  </hyperlinks>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3.5"/>
    <col customWidth="1" min="3" max="3" width="21.0"/>
    <col customWidth="1" min="4" max="4" width="27.0"/>
    <col customWidth="1" min="5" max="5" width="27.25"/>
    <col customWidth="1" min="6" max="6" width="26.25"/>
    <col customWidth="1" min="7" max="7" width="27.0"/>
  </cols>
  <sheetData>
    <row r="1" ht="22.5" customHeight="1">
      <c r="A1" s="55" t="s">
        <v>1980</v>
      </c>
      <c r="B1" s="56" t="s">
        <v>1981</v>
      </c>
      <c r="C1" s="57" t="s">
        <v>1982</v>
      </c>
      <c r="D1" s="58" t="s">
        <v>1983</v>
      </c>
      <c r="E1" s="58" t="s">
        <v>1984</v>
      </c>
    </row>
    <row r="2" ht="22.5" customHeight="1">
      <c r="A2" s="39" t="s">
        <v>19</v>
      </c>
      <c r="B2" s="59" t="s">
        <v>1985</v>
      </c>
      <c r="C2"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columns."")"),"ICAR-Central Plantation Crops Research Institute (CPCRI), Kudlu P.O., Kasaragod, Kerala - 671124; https://cpcri.icar.gov.in/")</f>
        <v>ICAR-Central Plantation Crops Research Institute (CPCRI), Kudlu P.O., Kasaragod, Kerala - 671124; https://cpcri.icar.gov.in/</v>
      </c>
      <c r="D2" s="9" t="s">
        <v>1986</v>
      </c>
      <c r="E2" s="60" t="str">
        <f>IFERROR(__xludf.DUMMYFUNCTION("AI(""website link"")"),"https://cpcri.icar.gov.in/")</f>
        <v>https://cpcri.icar.gov.in/</v>
      </c>
    </row>
    <row r="3" ht="22.5" customHeight="1">
      <c r="A3" s="39" t="s">
        <v>129</v>
      </c>
      <c r="B3" s="59" t="s">
        <v>1987</v>
      </c>
      <c r="C3"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columns."")"),"ICAR-Central Tuber Crops Research Institute (CTCRI), Sreekariyam P.O., Thiruvananthapuram, Kerala - 695017; https://www.ctcri.org/")</f>
        <v>ICAR-Central Tuber Crops Research Institute (CTCRI), Sreekariyam P.O., Thiruvananthapuram, Kerala - 695017; https://www.ctcri.org/</v>
      </c>
      <c r="D3" s="9" t="s">
        <v>1988</v>
      </c>
      <c r="E3" s="60" t="str">
        <f>IFERROR(__xludf.DUMMYFUNCTION("AI(""website link"")"),"https://www.ctcri.org/")</f>
        <v>https://www.ctcri.org/</v>
      </c>
    </row>
    <row r="4" ht="22.5" customHeight="1">
      <c r="A4" s="39" t="s">
        <v>236</v>
      </c>
      <c r="B4" s="59" t="s">
        <v>1989</v>
      </c>
      <c r="C4"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columns."")"),"CSIR - National Institute for Interdisciplinary Science and Technology (NIIST), Industrial Estate P.O., Pappanamcode, Thiruvananthapuram, Kerala - 695019; https://www.niist.res.in/")</f>
        <v>CSIR - National Institute for Interdisciplinary Science and Technology (NIIST), Industrial Estate P.O., Pappanamcode, Thiruvananthapuram, Kerala - 695019; https://www.niist.res.in/</v>
      </c>
      <c r="D4" s="9" t="s">
        <v>1988</v>
      </c>
      <c r="E4" s="60" t="str">
        <f>IFERROR(__xludf.DUMMYFUNCTION("AI(""website link"")"),"https://www.niist.res.in/")</f>
        <v>https://www.niist.res.in/</v>
      </c>
    </row>
    <row r="5" ht="22.5" customHeight="1">
      <c r="A5" s="39" t="s">
        <v>303</v>
      </c>
      <c r="B5" s="59" t="s">
        <v>1990</v>
      </c>
      <c r="C5"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columns."")"),"Kerala University of Fisheries and Ocean Studies (KUFOS), Panangad P.O., Kochi, Kerala - 682506; https://www.kufos.ac.in/")</f>
        <v>Kerala University of Fisheries and Ocean Studies (KUFOS), Panangad P.O., Kochi, Kerala - 682506; https://www.kufos.ac.in/</v>
      </c>
      <c r="D5" s="9" t="s">
        <v>1991</v>
      </c>
      <c r="E5" s="60" t="str">
        <f>IFERROR(__xludf.DUMMYFUNCTION("AI(""website link"")"),"https://www.kufos.ac.in/")</f>
        <v>https://www.kufos.ac.in/</v>
      </c>
    </row>
    <row r="6" ht="22.5" customHeight="1">
      <c r="A6" s="39" t="s">
        <v>521</v>
      </c>
      <c r="B6" s="59" t="s">
        <v>1992</v>
      </c>
      <c r="C6"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columns."")"),"Kerala Agricultural University, KAU Main Campus, KAU P.O., Vellanikkara, Thrissur, Kerala - 680656; http://www.kau.in/")</f>
        <v>Kerala Agricultural University, KAU Main Campus, KAU P.O., Vellanikkara, Thrissur, Kerala - 680656; http://www.kau.in/</v>
      </c>
      <c r="D6" s="9" t="s">
        <v>1993</v>
      </c>
      <c r="E6" s="60" t="str">
        <f>IFERROR(__xludf.DUMMYFUNCTION("AI(""website link"")"),"http://www.kau.in/")</f>
        <v>http://www.kau.in/</v>
      </c>
    </row>
    <row r="7" ht="22.5" customHeight="1">
      <c r="A7" s="39" t="s">
        <v>761</v>
      </c>
      <c r="B7" s="59" t="s">
        <v>1994</v>
      </c>
      <c r="C7"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columns."")"),"ICAR-Indian Institute of Spices Research (IISR), Marikunnu P.O., Kozhikode, Kerala - 673012; http://www.spices.res.in/")</f>
        <v>ICAR-Indian Institute of Spices Research (IISR), Marikunnu P.O., Kozhikode, Kerala - 673012; http://www.spices.res.in/</v>
      </c>
      <c r="D7" s="9" t="s">
        <v>1995</v>
      </c>
      <c r="E7" s="60" t="str">
        <f>IFERROR(__xludf.DUMMYFUNCTION("AI(""website link"")"),"http://www.spices.res.in/")</f>
        <v>http://www.spices.res.in/</v>
      </c>
    </row>
    <row r="8" ht="22.5" customHeight="1">
      <c r="A8" s="39" t="s">
        <v>853</v>
      </c>
      <c r="B8" s="59" t="s">
        <v>1996</v>
      </c>
      <c r="C8"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columns."")"),"Centre for Development of Advanced Computing (C-DAC), P. B. No. 6520, Vellayambalam, Thiruvananthapuram - 695033, Kerala; https://www.cdac.in/")</f>
        <v>Centre for Development of Advanced Computing (C-DAC), P. B. No. 6520, Vellayambalam, Thiruvananthapuram - 695033, Kerala; https://www.cdac.in/</v>
      </c>
      <c r="D8" s="9" t="s">
        <v>1988</v>
      </c>
      <c r="E8" s="60" t="str">
        <f>IFERROR(__xludf.DUMMYFUNCTION("AI(""website link"")"),"https://www.cdac.in/")</f>
        <v>https://www.cdac.in/</v>
      </c>
    </row>
    <row r="9" ht="22.5" customHeight="1">
      <c r="A9" s="39" t="s">
        <v>1002</v>
      </c>
      <c r="B9" s="59" t="s">
        <v>1997</v>
      </c>
      <c r="C9"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columns."")"),"Sree Chitra Tirunal Institute for Medical Sciences and Technology (SCTIMST), Thiruvananthapuram - 695 011, Kerala, India; https://www.sctimst.ac.in/")</f>
        <v>Sree Chitra Tirunal Institute for Medical Sciences and Technology (SCTIMST), Thiruvananthapuram - 695 011, Kerala, India; https://www.sctimst.ac.in/</v>
      </c>
      <c r="D9" s="9" t="s">
        <v>1988</v>
      </c>
      <c r="E9" s="60" t="str">
        <f>IFERROR(__xludf.DUMMYFUNCTION("AI(""website link"")"),"https://www.sctimst.ac.in/")</f>
        <v>https://www.sctimst.ac.in/</v>
      </c>
    </row>
    <row r="10" ht="22.5" customHeight="1">
      <c r="A10" s="39" t="s">
        <v>1046</v>
      </c>
      <c r="B10" s="59" t="s">
        <v>1998</v>
      </c>
      <c r="C10"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columns."")"),"C-met, M G Kavu, Shoranur Road, Athani, Thrissur-680581, Kerala; https://cmet.gov.in/thrissur-laboratory")</f>
        <v>C-met, M G Kavu, Shoranur Road, Athani, Thrissur-680581, Kerala; https://cmet.gov.in/thrissur-laboratory</v>
      </c>
      <c r="D10" s="9" t="s">
        <v>1993</v>
      </c>
      <c r="E10" s="60" t="str">
        <f>IFERROR(__xludf.DUMMYFUNCTION("AI(""website link"")"),"https://cmet.gov.in/thrissur-laboratory")</f>
        <v>https://cmet.gov.in/thrissur-laboratory</v>
      </c>
    </row>
    <row r="11" ht="22.5" customHeight="1">
      <c r="A11" s="39" t="s">
        <v>472</v>
      </c>
      <c r="B11" s="49"/>
      <c r="C11"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columns."")"),"ICAR-Sugarcane Breeding Institute Research Centre, Civil Station Post, Kannur, Kerala - 670002; https://sugarcane.icar.gov.in/")</f>
        <v>ICAR-Sugarcane Breeding Institute Research Centre, Civil Station Post, Kannur, Kerala - 670002; https://sugarcane.icar.gov.in/</v>
      </c>
      <c r="D11" s="9" t="s">
        <v>1999</v>
      </c>
      <c r="E11" s="60" t="str">
        <f>IFERROR(__xludf.DUMMYFUNCTION("AI(""website link"")"),"https://sugarcane.icar.gov.in/")</f>
        <v>https://sugarcane.icar.gov.in/</v>
      </c>
    </row>
    <row r="12" ht="22.5" customHeight="1">
      <c r="A12" s="39" t="s">
        <v>1293</v>
      </c>
      <c r="B12" s="49"/>
      <c r="C12"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columns."")"),"National Coir Research and Management Institute (NCRMI), Kudappanakkunnu P.O., Thiruvananthapuram, Kerala - 695043; https://ncrmi.res.in/")</f>
        <v>National Coir Research and Management Institute (NCRMI), Kudappanakkunnu P.O., Thiruvananthapuram, Kerala - 695043; https://ncrmi.res.in/</v>
      </c>
      <c r="D12" s="9" t="s">
        <v>1988</v>
      </c>
      <c r="E12" s="60" t="str">
        <f>IFERROR(__xludf.DUMMYFUNCTION("AI(""website link"")"),"https://ncrmi.res.in/")</f>
        <v>https://ncrmi.res.in/</v>
      </c>
    </row>
    <row r="13" ht="22.5" customHeight="1">
      <c r="A13" s="39" t="s">
        <v>1599</v>
      </c>
      <c r="B13" s="49"/>
      <c r="C13"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columns."")"),"Institute of Advanced Virology, Bio 360 Life Sciences Park, Thonnakkal, Thiruvananthapuram, Kerala - 695317; https://iav.kerala.gov.in/")</f>
        <v>Institute of Advanced Virology, Bio 360 Life Sciences Park, Thonnakkal, Thiruvananthapuram, Kerala - 695317; https://iav.kerala.gov.in/</v>
      </c>
      <c r="D13" s="9" t="s">
        <v>1988</v>
      </c>
      <c r="E13" s="60" t="str">
        <f>IFERROR(__xludf.DUMMYFUNCTION("AI(""website link"")"),"https://iav.kerala.gov.in/")</f>
        <v>https://iav.kerala.gov.in/</v>
      </c>
    </row>
    <row r="14" ht="22.5" customHeight="1">
      <c r="A14" s="39" t="s">
        <v>1420</v>
      </c>
      <c r="B14" s="59" t="s">
        <v>2000</v>
      </c>
      <c r="C14"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columns."")"),"KSCSTE-Jawaharlal Nehru Tropical Botanic Garden and Research Institute, Palode, Thiruvananthapuram, Kerala - 695562; https://jntbgri.res.in/")</f>
        <v>KSCSTE-Jawaharlal Nehru Tropical Botanic Garden and Research Institute, Palode, Thiruvananthapuram, Kerala - 695562; https://jntbgri.res.in/</v>
      </c>
      <c r="D14" s="9" t="s">
        <v>1988</v>
      </c>
      <c r="E14" s="60" t="str">
        <f>IFERROR(__xludf.DUMMYFUNCTION("AI(""website link"")"),"https://jntbgri.res.in/")</f>
        <v>https://jntbgri.res.in/</v>
      </c>
    </row>
    <row r="15" ht="22.5" customHeight="1">
      <c r="A15" s="39" t="s">
        <v>1372</v>
      </c>
      <c r="B15" s="59" t="s">
        <v>2001</v>
      </c>
      <c r="C15"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columns."")"),"KSCSTE - Malabar Botanical Garden &amp; Institute for Plant Sciences, Guruvayurappan College P.O., Kozhikode, 673 014, Kerala, India; https://mbgips.in/")</f>
        <v>KSCSTE - Malabar Botanical Garden &amp; Institute for Plant Sciences, Guruvayurappan College P.O., Kozhikode, 673 014, Kerala, India; https://mbgips.in/</v>
      </c>
      <c r="D15" s="9" t="s">
        <v>1995</v>
      </c>
      <c r="E15" s="60" t="str">
        <f>IFERROR(__xludf.DUMMYFUNCTION("AI(""website link"")"),"https://mbgips.in/")</f>
        <v>https://mbgips.in/</v>
      </c>
    </row>
    <row r="16" ht="22.5" customHeight="1">
      <c r="A16" s="39" t="s">
        <v>1383</v>
      </c>
      <c r="B16" s="59" t="s">
        <v>2002</v>
      </c>
      <c r="C16"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columns."")"),"Kerala Forest Research Institute, Peechi - 680 653, Thrissur, Kerala, India; http://www.kfri.res.in/")</f>
        <v>Kerala Forest Research Institute, Peechi - 680 653, Thrissur, Kerala, India; http://www.kfri.res.in/</v>
      </c>
      <c r="D16" s="9" t="s">
        <v>1993</v>
      </c>
      <c r="E16" s="60" t="str">
        <f>IFERROR(__xludf.DUMMYFUNCTION("AI(""website link"")"),"http://www.kfri.res.in/")</f>
        <v>http://www.kfri.res.in/</v>
      </c>
    </row>
    <row r="17" ht="22.5" customHeight="1">
      <c r="A17" s="39" t="s">
        <v>1410</v>
      </c>
      <c r="B17" s="59" t="s">
        <v>2003</v>
      </c>
      <c r="C17"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columns."")"),"KSCSTE-Centre for Water Resources Development and Management, Kunnamangalam, Kozhikode, Kerala - 673571; https://cwrdm.kerala.gov.in/")</f>
        <v>KSCSTE-Centre for Water Resources Development and Management, Kunnamangalam, Kozhikode, Kerala - 673571; https://cwrdm.kerala.gov.in/</v>
      </c>
      <c r="D17" s="9" t="s">
        <v>1995</v>
      </c>
      <c r="E17" s="60" t="str">
        <f>IFERROR(__xludf.DUMMYFUNCTION("AI(""website link"")"),"https://cwrdm.kerala.gov.in/")</f>
        <v>https://cwrdm.kerala.gov.in/</v>
      </c>
    </row>
    <row r="18" ht="22.5" customHeight="1">
      <c r="A18" s="39" t="s">
        <v>1507</v>
      </c>
      <c r="B18" s="46"/>
      <c r="C18"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columns."")"),"KSCSTE - Institute for Climate Change Studies, Deepthi Tower, Kanjikuzhy, Kottayam, Kerala - 686004; https://iccs.res.in/")</f>
        <v>KSCSTE - Institute for Climate Change Studies, Deepthi Tower, Kanjikuzhy, Kottayam, Kerala - 686004; https://iccs.res.in/</v>
      </c>
      <c r="D18" s="9" t="s">
        <v>2004</v>
      </c>
      <c r="E18" s="60" t="str">
        <f>IFERROR(__xludf.DUMMYFUNCTION("AI(""website link"")"),"https://iccs.res.in/")</f>
        <v>https://iccs.res.in/</v>
      </c>
    </row>
    <row r="19" ht="22.5" customHeight="1">
      <c r="A19" s="39" t="s">
        <v>1525</v>
      </c>
      <c r="B19" s="46"/>
      <c r="C19"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columns."")"),"Integrated Rural Technology Centre (IRTC), Mundur P.O., Palakkad, Kerala - 678592; https://www.irtc.org.in/")</f>
        <v>Integrated Rural Technology Centre (IRTC), Mundur P.O., Palakkad, Kerala - 678592; https://www.irtc.org.in/</v>
      </c>
      <c r="D19" s="9" t="s">
        <v>2005</v>
      </c>
      <c r="E19" s="60" t="str">
        <f>IFERROR(__xludf.DUMMYFUNCTION("AI(""website link"")"),"https://irtc.org.in/")</f>
        <v>https://irtc.org.in/</v>
      </c>
    </row>
    <row r="20" ht="22.5" customHeight="1">
      <c r="A20" s="39" t="s">
        <v>1507</v>
      </c>
      <c r="B20" s="46"/>
      <c r="C20"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columns."")"),"Institute for Climate Change Studies, Building No. 203/A3, Near Govt. Medical College, Gandhinagar P.O., Kottayam, Kerala - 686008; https://iccs.res.in/")</f>
        <v>Institute for Climate Change Studies, Building No. 203/A3, Near Govt. Medical College, Gandhinagar P.O., Kottayam, Kerala - 686008; https://iccs.res.in/</v>
      </c>
      <c r="D20" s="9" t="s">
        <v>2004</v>
      </c>
      <c r="E20" s="60" t="str">
        <f>IFERROR(__xludf.DUMMYFUNCTION("AI(""website link"")"),"https://iccs.res.in/")</f>
        <v>https://iccs.res.in/</v>
      </c>
    </row>
    <row r="21" ht="22.5" customHeight="1">
      <c r="A21" s="39" t="s">
        <v>1525</v>
      </c>
      <c r="B21" s="46"/>
      <c r="C21"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columns."")"),"Integrated Rural Technology Centre (IRTC), Mundur Post, Palakkad - 678592, Kerala; https://irtc.org.in/")</f>
        <v>Integrated Rural Technology Centre (IRTC), Mundur Post, Palakkad - 678592, Kerala; https://irtc.org.in/</v>
      </c>
      <c r="D21" s="9" t="s">
        <v>2005</v>
      </c>
      <c r="E21" s="60" t="str">
        <f>IFERROR(__xludf.DUMMYFUNCTION("AI(""website link"")"),"https://irtc.org.in/")</f>
        <v>https://irtc.org.in/</v>
      </c>
    </row>
    <row r="22" ht="22.5" customHeight="1">
      <c r="A22" s="39" t="s">
        <v>1723</v>
      </c>
      <c r="B22" s="46"/>
      <c r="C22"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columns."")"),"Srinivasa Ramanujan Institute for Basic Sciences (SRIBS), Pi Hills, 8th Mile, Velloor P.O., Pampady, Kottayam, Kerala - 686501; https://sribs.kerala.gov.in/")</f>
        <v>Srinivasa Ramanujan Institute for Basic Sciences (SRIBS), Pi Hills, 8th Mile, Velloor P.O., Pampady, Kottayam, Kerala - 686501; https://sribs.kerala.gov.in/</v>
      </c>
      <c r="D22" s="9" t="s">
        <v>2004</v>
      </c>
      <c r="E22" s="60" t="str">
        <f>IFERROR(__xludf.DUMMYFUNCTION("AI(""website link"")"),"https://sribs.kerala.gov.in/")</f>
        <v>https://sribs.kerala.gov.in/</v>
      </c>
    </row>
    <row r="23" ht="22.5" customHeight="1">
      <c r="A23" s="39" t="s">
        <v>1733</v>
      </c>
      <c r="B23" s="46"/>
      <c r="C23"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columns."")"),"KSCSTE-National Transportation Planning and Research Centre (NATPAC), K.Karunakaran Transpark, Aakkulam, Thuruvikkal (PO), Thiruvananthapuram - 695 011; http://www.natpac.kerala.gov.in/")</f>
        <v>KSCSTE-National Transportation Planning and Research Centre (NATPAC), K.Karunakaran Transpark, Aakkulam, Thuruvikkal (PO), Thiruvananthapuram - 695 011; http://www.natpac.kerala.gov.in/</v>
      </c>
      <c r="D23" s="9" t="s">
        <v>1988</v>
      </c>
      <c r="E23" s="60" t="str">
        <f>IFERROR(__xludf.DUMMYFUNCTION("AI(""website link"")"),"http://www.natpac.kerala.gov.in/")</f>
        <v>http://www.natpac.kerala.gov.in/</v>
      </c>
    </row>
    <row r="24" ht="22.5" customHeight="1">
      <c r="A24" s="39" t="s">
        <v>1845</v>
      </c>
      <c r="B24" s="46"/>
      <c r="C24"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columns."")"),"Sophisticated Test and Instrumentation Centre (STIC), CUSAT Campus, Cochin, Kerala - 682022; https://www.sticindia.com/")</f>
        <v>Sophisticated Test and Instrumentation Centre (STIC), CUSAT Campus, Cochin, Kerala - 682022; https://www.sticindia.com/</v>
      </c>
      <c r="D24" s="9" t="s">
        <v>1991</v>
      </c>
      <c r="E24" s="60" t="str">
        <f>IFERROR(__xludf.DUMMYFUNCTION("AI(""website link"")"),"https://www.sticindia.com/")</f>
        <v>https://www.sticindia.com/</v>
      </c>
    </row>
    <row r="25" ht="22.5" customHeight="1">
      <c r="A25" s="39" t="s">
        <v>1576</v>
      </c>
      <c r="B25" s="46"/>
      <c r="C25" s="46" t="str">
        <f>IFERROR(__xludf.DUMMYFUNCTION("AI(""Look at the institution names listed in Column A (starting from cell A2). For each institution, find its official, complete postal address in Kerala and its official website URL. Please output this data cleanly so I can insert it directly into the 'a"&amp;"dhress' (Column C) and 'website link' (Column D) columns."")"),"Bio360 Life Sciences Park, Thonnakkal, Thiruvananthapuram, Kerala - 695317; https://kscste.kerala.gov.in/")</f>
        <v>Bio360 Life Sciences Park, Thonnakkal, Thiruvananthapuram, Kerala - 695317; https://kscste.kerala.gov.in/</v>
      </c>
      <c r="D25" s="9" t="s">
        <v>1988</v>
      </c>
      <c r="E25" s="60" t="str">
        <f>IFERROR(__xludf.DUMMYFUNCTION("AI(""website link"")"),"https://kscste.kerala.gov.in/")</f>
        <v>https://kscste.kerala.gov.in/</v>
      </c>
    </row>
    <row r="26" ht="22.5" customHeight="1">
      <c r="A26" s="61"/>
      <c r="D26" s="61"/>
    </row>
    <row r="27" ht="22.5" customHeight="1">
      <c r="A27" s="61"/>
      <c r="D27" s="61"/>
    </row>
    <row r="28" ht="22.5" customHeight="1">
      <c r="A28" s="61"/>
      <c r="D28" s="61"/>
    </row>
    <row r="29" ht="22.5" customHeight="1">
      <c r="A29" s="61"/>
      <c r="D29" s="61"/>
    </row>
    <row r="30" ht="22.5" customHeight="1">
      <c r="A30" s="61"/>
      <c r="D30" s="61"/>
    </row>
    <row r="31" ht="22.5" customHeight="1">
      <c r="A31" s="61"/>
      <c r="D31" s="61"/>
    </row>
    <row r="32" ht="22.5" customHeight="1">
      <c r="A32" s="61"/>
      <c r="D32" s="61"/>
    </row>
    <row r="33" ht="22.5" customHeight="1">
      <c r="A33" s="61"/>
      <c r="D33" s="61"/>
    </row>
    <row r="34" ht="22.5" customHeight="1">
      <c r="A34" s="61"/>
      <c r="D34" s="61"/>
    </row>
    <row r="35" ht="22.5" customHeight="1">
      <c r="A35" s="61"/>
      <c r="D35" s="61"/>
    </row>
    <row r="36" ht="22.5" customHeight="1">
      <c r="A36" s="61"/>
      <c r="D36" s="61"/>
    </row>
    <row r="37" ht="22.5" customHeight="1">
      <c r="A37" s="61"/>
      <c r="D37" s="61"/>
    </row>
    <row r="38" ht="22.5" customHeight="1">
      <c r="A38" s="61"/>
      <c r="D38" s="61"/>
    </row>
    <row r="39" ht="22.5" customHeight="1">
      <c r="A39" s="61"/>
      <c r="D39" s="61"/>
    </row>
    <row r="40" ht="22.5" customHeight="1">
      <c r="A40" s="61"/>
      <c r="D40" s="61"/>
    </row>
    <row r="41" ht="22.5" customHeight="1">
      <c r="A41" s="61"/>
      <c r="D41" s="61"/>
    </row>
    <row r="42" ht="22.5" customHeight="1">
      <c r="A42" s="61"/>
      <c r="D42" s="61"/>
    </row>
    <row r="43" ht="22.5" customHeight="1">
      <c r="A43" s="61"/>
      <c r="D43" s="61"/>
    </row>
    <row r="44" ht="22.5" customHeight="1">
      <c r="A44" s="61"/>
      <c r="D44" s="61"/>
    </row>
    <row r="45" ht="22.5" customHeight="1">
      <c r="A45" s="61"/>
      <c r="D45" s="61"/>
    </row>
    <row r="46" ht="22.5" customHeight="1">
      <c r="A46" s="61"/>
      <c r="D46" s="61"/>
    </row>
    <row r="47" ht="22.5" customHeight="1">
      <c r="A47" s="61"/>
      <c r="D47" s="61"/>
    </row>
    <row r="48" ht="22.5" customHeight="1">
      <c r="A48" s="61"/>
      <c r="D48" s="61"/>
    </row>
    <row r="49" ht="22.5" customHeight="1">
      <c r="A49" s="61"/>
      <c r="D49" s="61"/>
    </row>
    <row r="50" ht="22.5" customHeight="1">
      <c r="A50" s="61"/>
      <c r="D50" s="61"/>
    </row>
    <row r="51" ht="22.5" customHeight="1">
      <c r="A51" s="61"/>
      <c r="D51" s="61"/>
    </row>
    <row r="52" ht="22.5" customHeight="1">
      <c r="A52" s="61"/>
      <c r="D52" s="61"/>
    </row>
    <row r="53" ht="22.5" customHeight="1">
      <c r="A53" s="61"/>
      <c r="D53" s="61"/>
    </row>
    <row r="54" ht="22.5" customHeight="1">
      <c r="A54" s="61"/>
      <c r="D54" s="61"/>
    </row>
    <row r="55" ht="22.5" customHeight="1">
      <c r="A55" s="61"/>
      <c r="D55" s="61"/>
    </row>
    <row r="56" ht="22.5" customHeight="1">
      <c r="A56" s="61"/>
      <c r="D56" s="61"/>
    </row>
    <row r="57" ht="22.5" customHeight="1">
      <c r="A57" s="61"/>
      <c r="D57" s="61"/>
    </row>
    <row r="58" ht="22.5" customHeight="1">
      <c r="A58" s="61"/>
      <c r="D58" s="61"/>
    </row>
    <row r="59" ht="22.5" customHeight="1">
      <c r="A59" s="61"/>
      <c r="D59" s="61"/>
    </row>
    <row r="60" ht="22.5" customHeight="1">
      <c r="A60" s="61"/>
      <c r="D60" s="61"/>
    </row>
    <row r="61" ht="22.5" customHeight="1">
      <c r="A61" s="61"/>
      <c r="D61" s="61"/>
    </row>
    <row r="62" ht="22.5" customHeight="1">
      <c r="A62" s="61"/>
      <c r="D62" s="61"/>
    </row>
    <row r="63" ht="22.5" customHeight="1">
      <c r="A63" s="61"/>
      <c r="D63" s="61"/>
    </row>
    <row r="64" ht="22.5" customHeight="1">
      <c r="A64" s="61"/>
      <c r="D64" s="61"/>
    </row>
    <row r="65" ht="22.5" customHeight="1">
      <c r="A65" s="61"/>
      <c r="D65" s="61"/>
    </row>
    <row r="66" ht="22.5" customHeight="1">
      <c r="A66" s="61"/>
      <c r="D66" s="61"/>
    </row>
    <row r="67" ht="22.5" customHeight="1">
      <c r="A67" s="61"/>
      <c r="D67" s="61"/>
    </row>
    <row r="68" ht="22.5" customHeight="1">
      <c r="A68" s="61"/>
      <c r="D68" s="61"/>
    </row>
    <row r="69" ht="22.5" customHeight="1">
      <c r="A69" s="61"/>
      <c r="D69" s="61"/>
    </row>
    <row r="70" ht="22.5" customHeight="1">
      <c r="A70" s="61"/>
      <c r="D70" s="61"/>
    </row>
    <row r="71" ht="22.5" customHeight="1">
      <c r="A71" s="61"/>
      <c r="D71" s="61"/>
    </row>
    <row r="72" ht="22.5" customHeight="1">
      <c r="A72" s="61"/>
      <c r="D72" s="61"/>
    </row>
    <row r="73" ht="22.5" customHeight="1">
      <c r="A73" s="61"/>
      <c r="D73" s="61"/>
    </row>
    <row r="74" ht="22.5" customHeight="1">
      <c r="A74" s="61"/>
      <c r="D74" s="61"/>
    </row>
    <row r="75" ht="22.5" customHeight="1">
      <c r="A75" s="61"/>
      <c r="D75" s="61"/>
    </row>
    <row r="76" ht="22.5" customHeight="1">
      <c r="A76" s="61"/>
      <c r="D76" s="61"/>
    </row>
    <row r="77" ht="22.5" customHeight="1">
      <c r="A77" s="61"/>
      <c r="D77" s="61"/>
    </row>
    <row r="78" ht="22.5" customHeight="1">
      <c r="A78" s="61"/>
      <c r="D78" s="61"/>
    </row>
    <row r="79" ht="22.5" customHeight="1">
      <c r="A79" s="61"/>
      <c r="D79" s="61"/>
    </row>
    <row r="80" ht="22.5" customHeight="1">
      <c r="A80" s="61"/>
      <c r="D80" s="61"/>
    </row>
    <row r="81" ht="22.5" customHeight="1">
      <c r="A81" s="61"/>
      <c r="D81" s="61"/>
    </row>
    <row r="82" ht="22.5" customHeight="1">
      <c r="A82" s="61"/>
      <c r="D82" s="61"/>
    </row>
    <row r="83" ht="22.5" customHeight="1">
      <c r="A83" s="61"/>
      <c r="D83" s="61"/>
    </row>
    <row r="84" ht="22.5" customHeight="1">
      <c r="A84" s="61"/>
      <c r="D84" s="61"/>
    </row>
    <row r="85" ht="22.5" customHeight="1">
      <c r="A85" s="61"/>
      <c r="D85" s="61"/>
    </row>
    <row r="86" ht="22.5" customHeight="1">
      <c r="A86" s="61"/>
      <c r="D86" s="61"/>
    </row>
    <row r="87" ht="22.5" customHeight="1">
      <c r="A87" s="61"/>
      <c r="D87" s="61"/>
    </row>
    <row r="88" ht="22.5" customHeight="1">
      <c r="A88" s="61"/>
      <c r="D88" s="61"/>
    </row>
    <row r="89" ht="22.5" customHeight="1">
      <c r="A89" s="61"/>
      <c r="D89" s="61"/>
    </row>
    <row r="90" ht="22.5" customHeight="1">
      <c r="A90" s="61"/>
      <c r="D90" s="61"/>
    </row>
    <row r="91" ht="22.5" customHeight="1">
      <c r="A91" s="61"/>
      <c r="D91" s="61"/>
    </row>
    <row r="92" ht="22.5" customHeight="1">
      <c r="A92" s="61"/>
      <c r="D92" s="61"/>
    </row>
    <row r="93" ht="22.5" customHeight="1">
      <c r="A93" s="61"/>
      <c r="D93" s="61"/>
    </row>
    <row r="94" ht="22.5" customHeight="1">
      <c r="A94" s="61"/>
      <c r="D94" s="61"/>
    </row>
    <row r="95" ht="22.5" customHeight="1">
      <c r="A95" s="61"/>
      <c r="D95" s="61"/>
    </row>
    <row r="96" ht="22.5" customHeight="1">
      <c r="A96" s="61"/>
      <c r="D96" s="61"/>
    </row>
    <row r="97" ht="22.5" customHeight="1">
      <c r="A97" s="61"/>
      <c r="D97" s="61"/>
    </row>
    <row r="98" ht="22.5" customHeight="1">
      <c r="A98" s="61"/>
      <c r="D98" s="61"/>
    </row>
    <row r="99" ht="22.5" customHeight="1">
      <c r="A99" s="61"/>
      <c r="D99" s="61"/>
    </row>
    <row r="100" ht="22.5" customHeight="1">
      <c r="A100" s="61"/>
      <c r="D100" s="61"/>
    </row>
    <row r="101" ht="22.5" customHeight="1">
      <c r="A101" s="61"/>
      <c r="D101" s="61"/>
    </row>
    <row r="102" ht="22.5" customHeight="1">
      <c r="A102" s="61"/>
      <c r="D102" s="61"/>
    </row>
    <row r="103" ht="22.5" customHeight="1">
      <c r="A103" s="61"/>
      <c r="D103" s="61"/>
    </row>
    <row r="104" ht="22.5" customHeight="1">
      <c r="A104" s="61"/>
      <c r="D104" s="61"/>
    </row>
    <row r="105" ht="22.5" customHeight="1">
      <c r="A105" s="61"/>
      <c r="D105" s="61"/>
    </row>
    <row r="106" ht="22.5" customHeight="1">
      <c r="A106" s="61"/>
      <c r="D106" s="61"/>
    </row>
    <row r="107" ht="22.5" customHeight="1">
      <c r="A107" s="61"/>
      <c r="D107" s="61"/>
    </row>
    <row r="108" ht="22.5" customHeight="1">
      <c r="A108" s="61"/>
      <c r="D108" s="61"/>
    </row>
    <row r="109" ht="22.5" customHeight="1">
      <c r="A109" s="61"/>
      <c r="D109" s="61"/>
    </row>
    <row r="110" ht="22.5" customHeight="1">
      <c r="A110" s="61"/>
      <c r="D110" s="61"/>
    </row>
    <row r="111" ht="22.5" customHeight="1">
      <c r="A111" s="61"/>
      <c r="D111" s="61"/>
    </row>
    <row r="112" ht="22.5" customHeight="1">
      <c r="A112" s="61"/>
      <c r="D112" s="61"/>
    </row>
    <row r="113" ht="22.5" customHeight="1">
      <c r="A113" s="61"/>
      <c r="D113" s="61"/>
    </row>
    <row r="114" ht="22.5" customHeight="1">
      <c r="A114" s="61"/>
      <c r="D114" s="61"/>
    </row>
    <row r="115" ht="22.5" customHeight="1">
      <c r="A115" s="61"/>
      <c r="D115" s="61"/>
    </row>
    <row r="116" ht="22.5" customHeight="1">
      <c r="A116" s="61"/>
      <c r="D116" s="61"/>
    </row>
    <row r="117" ht="22.5" customHeight="1">
      <c r="A117" s="61"/>
      <c r="D117" s="61"/>
    </row>
    <row r="118" ht="22.5" customHeight="1">
      <c r="A118" s="61"/>
      <c r="D118" s="61"/>
    </row>
    <row r="119" ht="22.5" customHeight="1">
      <c r="A119" s="61"/>
      <c r="D119" s="61"/>
    </row>
    <row r="120" ht="22.5" customHeight="1">
      <c r="A120" s="61"/>
      <c r="D120" s="61"/>
    </row>
    <row r="121" ht="22.5" customHeight="1">
      <c r="A121" s="61"/>
      <c r="D121" s="61"/>
    </row>
    <row r="122" ht="22.5" customHeight="1">
      <c r="A122" s="61"/>
      <c r="D122" s="61"/>
    </row>
    <row r="123" ht="22.5" customHeight="1">
      <c r="A123" s="61"/>
      <c r="D123" s="61"/>
    </row>
    <row r="124" ht="22.5" customHeight="1">
      <c r="A124" s="61"/>
      <c r="D124" s="61"/>
    </row>
    <row r="125" ht="22.5" customHeight="1">
      <c r="A125" s="61"/>
      <c r="D125" s="61"/>
    </row>
    <row r="126" ht="22.5" customHeight="1">
      <c r="A126" s="61"/>
      <c r="D126" s="61"/>
    </row>
    <row r="127" ht="22.5" customHeight="1">
      <c r="A127" s="61"/>
      <c r="D127" s="61"/>
    </row>
    <row r="128" ht="22.5" customHeight="1">
      <c r="A128" s="61"/>
      <c r="D128" s="61"/>
    </row>
    <row r="129" ht="22.5" customHeight="1">
      <c r="A129" s="61"/>
      <c r="D129" s="61"/>
    </row>
    <row r="130" ht="22.5" customHeight="1">
      <c r="A130" s="61"/>
      <c r="D130" s="61"/>
    </row>
    <row r="131" ht="22.5" customHeight="1">
      <c r="A131" s="61"/>
      <c r="D131" s="61"/>
    </row>
    <row r="132" ht="22.5" customHeight="1">
      <c r="A132" s="61"/>
      <c r="D132" s="61"/>
    </row>
    <row r="133" ht="22.5" customHeight="1">
      <c r="A133" s="61"/>
      <c r="D133" s="61"/>
    </row>
    <row r="134" ht="22.5" customHeight="1">
      <c r="A134" s="61"/>
      <c r="D134" s="61"/>
    </row>
    <row r="135" ht="22.5" customHeight="1">
      <c r="A135" s="61"/>
      <c r="D135" s="61"/>
    </row>
    <row r="136" ht="22.5" customHeight="1">
      <c r="A136" s="61"/>
      <c r="D136" s="61"/>
    </row>
    <row r="137" ht="22.5" customHeight="1">
      <c r="A137" s="61"/>
      <c r="D137" s="61"/>
    </row>
    <row r="138" ht="22.5" customHeight="1">
      <c r="A138" s="61"/>
      <c r="D138" s="61"/>
    </row>
    <row r="139" ht="22.5" customHeight="1">
      <c r="A139" s="61"/>
      <c r="D139" s="61"/>
    </row>
    <row r="140" ht="22.5" customHeight="1">
      <c r="A140" s="61"/>
      <c r="D140" s="61"/>
    </row>
    <row r="141" ht="22.5" customHeight="1">
      <c r="A141" s="61"/>
      <c r="D141" s="61"/>
    </row>
    <row r="142" ht="22.5" customHeight="1">
      <c r="A142" s="61"/>
      <c r="D142" s="61"/>
    </row>
    <row r="143" ht="22.5" customHeight="1">
      <c r="A143" s="61"/>
      <c r="D143" s="61"/>
    </row>
    <row r="144" ht="22.5" customHeight="1">
      <c r="A144" s="61"/>
      <c r="D144" s="61"/>
    </row>
    <row r="145" ht="22.5" customHeight="1">
      <c r="A145" s="61"/>
      <c r="D145" s="61"/>
    </row>
    <row r="146" ht="22.5" customHeight="1">
      <c r="A146" s="61"/>
      <c r="D146" s="61"/>
    </row>
    <row r="147" ht="22.5" customHeight="1">
      <c r="A147" s="61"/>
      <c r="D147" s="61"/>
    </row>
    <row r="148" ht="22.5" customHeight="1">
      <c r="A148" s="61"/>
      <c r="D148" s="61"/>
    </row>
    <row r="149" ht="22.5" customHeight="1">
      <c r="A149" s="61"/>
      <c r="D149" s="61"/>
    </row>
    <row r="150" ht="22.5" customHeight="1">
      <c r="A150" s="61"/>
      <c r="D150" s="61"/>
    </row>
    <row r="151" ht="22.5" customHeight="1">
      <c r="A151" s="61"/>
      <c r="D151" s="61"/>
    </row>
    <row r="152" ht="22.5" customHeight="1">
      <c r="A152" s="61"/>
      <c r="D152" s="61"/>
    </row>
    <row r="153" ht="22.5" customHeight="1">
      <c r="A153" s="61"/>
      <c r="D153" s="61"/>
    </row>
    <row r="154" ht="22.5" customHeight="1">
      <c r="A154" s="61"/>
      <c r="D154" s="61"/>
    </row>
    <row r="155" ht="22.5" customHeight="1">
      <c r="A155" s="61"/>
      <c r="D155" s="61"/>
    </row>
    <row r="156" ht="22.5" customHeight="1">
      <c r="A156" s="61"/>
      <c r="D156" s="61"/>
    </row>
    <row r="157" ht="22.5" customHeight="1">
      <c r="A157" s="61"/>
      <c r="D157" s="61"/>
    </row>
    <row r="158" ht="22.5" customHeight="1">
      <c r="A158" s="61"/>
      <c r="D158" s="61"/>
    </row>
    <row r="159" ht="22.5" customHeight="1">
      <c r="A159" s="61"/>
      <c r="D159" s="61"/>
    </row>
    <row r="160" ht="22.5" customHeight="1">
      <c r="A160" s="61"/>
      <c r="D160" s="61"/>
    </row>
    <row r="161" ht="22.5" customHeight="1">
      <c r="A161" s="62"/>
      <c r="B161" s="16"/>
      <c r="D161" s="61"/>
    </row>
    <row r="162" ht="22.5" customHeight="1">
      <c r="A162" s="62"/>
      <c r="B162" s="16"/>
      <c r="D162" s="61"/>
    </row>
    <row r="163" ht="22.5" customHeight="1">
      <c r="A163" s="63"/>
      <c r="B163" s="22"/>
      <c r="D163" s="61"/>
    </row>
    <row r="164" ht="22.5" customHeight="1">
      <c r="A164" s="63"/>
      <c r="B164" s="22"/>
      <c r="D164" s="61"/>
    </row>
    <row r="165" ht="22.5" customHeight="1">
      <c r="A165" s="63"/>
      <c r="B165" s="22"/>
      <c r="D165" s="61"/>
    </row>
    <row r="166" ht="22.5" customHeight="1">
      <c r="A166" s="62"/>
      <c r="B166" s="16"/>
      <c r="D166" s="61"/>
    </row>
    <row r="167" ht="22.5" customHeight="1">
      <c r="A167" s="62"/>
      <c r="B167" s="16"/>
      <c r="D167" s="61"/>
    </row>
    <row r="168" ht="22.5" customHeight="1">
      <c r="A168" s="62"/>
      <c r="B168" s="16"/>
      <c r="D168" s="61"/>
    </row>
    <row r="169" ht="22.5" customHeight="1">
      <c r="A169" s="61"/>
      <c r="D169" s="61"/>
    </row>
    <row r="170" ht="22.5" customHeight="1">
      <c r="A170" s="61"/>
      <c r="D170" s="61"/>
    </row>
    <row r="171" ht="22.5" customHeight="1">
      <c r="A171" s="61"/>
      <c r="D171" s="61"/>
    </row>
    <row r="172" ht="22.5" customHeight="1">
      <c r="A172" s="61"/>
      <c r="D172" s="61"/>
    </row>
    <row r="173" ht="22.5" customHeight="1">
      <c r="A173" s="61"/>
      <c r="D173" s="61"/>
    </row>
    <row r="174" ht="22.5" customHeight="1">
      <c r="A174" s="61"/>
      <c r="D174" s="61"/>
    </row>
    <row r="175" ht="22.5" customHeight="1">
      <c r="A175" s="61"/>
      <c r="D175" s="61"/>
    </row>
    <row r="176" ht="22.5" customHeight="1">
      <c r="A176" s="61"/>
      <c r="D176" s="61"/>
    </row>
    <row r="177" ht="22.5" customHeight="1">
      <c r="A177" s="61"/>
      <c r="D177" s="61"/>
    </row>
    <row r="178" ht="22.5" customHeight="1">
      <c r="A178" s="61"/>
      <c r="D178" s="61"/>
    </row>
    <row r="179" ht="22.5" customHeight="1">
      <c r="A179" s="61"/>
      <c r="D179" s="61"/>
    </row>
    <row r="180" ht="22.5" customHeight="1">
      <c r="A180" s="61"/>
      <c r="D180" s="61"/>
    </row>
    <row r="181" ht="22.5" customHeight="1">
      <c r="A181" s="61"/>
      <c r="D181" s="61"/>
    </row>
    <row r="182" ht="22.5" customHeight="1">
      <c r="A182" s="61"/>
      <c r="D182" s="61"/>
    </row>
    <row r="183" ht="22.5" customHeight="1">
      <c r="A183" s="61"/>
      <c r="D183" s="61"/>
    </row>
    <row r="184" ht="22.5" customHeight="1">
      <c r="A184" s="61"/>
      <c r="D184" s="61"/>
    </row>
    <row r="185" ht="22.5" customHeight="1">
      <c r="A185" s="61"/>
      <c r="D185" s="61"/>
    </row>
    <row r="186" ht="22.5" customHeight="1">
      <c r="A186" s="61"/>
      <c r="D186" s="61"/>
    </row>
    <row r="187" ht="22.5" customHeight="1">
      <c r="A187" s="61"/>
      <c r="D187" s="61"/>
    </row>
    <row r="188" ht="22.5" customHeight="1">
      <c r="A188" s="61"/>
      <c r="D188" s="61"/>
    </row>
    <row r="189" ht="22.5" customHeight="1">
      <c r="A189" s="61"/>
      <c r="D189" s="61"/>
    </row>
    <row r="190" ht="22.5" customHeight="1">
      <c r="A190" s="61"/>
      <c r="D190" s="61"/>
    </row>
    <row r="191" ht="22.5" customHeight="1">
      <c r="A191" s="61"/>
      <c r="D191" s="61"/>
    </row>
    <row r="192" ht="22.5" customHeight="1">
      <c r="A192" s="61"/>
      <c r="D192" s="61"/>
    </row>
    <row r="193" ht="22.5" customHeight="1">
      <c r="A193" s="61"/>
      <c r="D193" s="61"/>
    </row>
    <row r="194" ht="22.5" customHeight="1">
      <c r="A194" s="61"/>
      <c r="D194" s="61"/>
    </row>
    <row r="195" ht="22.5" customHeight="1">
      <c r="A195" s="61"/>
      <c r="D195" s="61"/>
    </row>
    <row r="196" ht="22.5" customHeight="1">
      <c r="A196" s="61"/>
      <c r="D196" s="61"/>
    </row>
    <row r="197" ht="22.5" customHeight="1">
      <c r="A197" s="61"/>
      <c r="D197" s="61"/>
    </row>
    <row r="198" ht="22.5" customHeight="1">
      <c r="A198" s="61"/>
      <c r="D198" s="61"/>
    </row>
    <row r="199" ht="22.5" customHeight="1">
      <c r="A199" s="61"/>
      <c r="D199" s="61"/>
    </row>
    <row r="200" ht="22.5" customHeight="1">
      <c r="A200" s="61"/>
      <c r="D200" s="61"/>
    </row>
    <row r="201" ht="22.5" customHeight="1">
      <c r="A201" s="61"/>
      <c r="D201" s="61"/>
    </row>
    <row r="202" ht="22.5" customHeight="1">
      <c r="A202" s="61"/>
      <c r="D202" s="61"/>
    </row>
    <row r="203" ht="22.5" customHeight="1">
      <c r="A203" s="61"/>
      <c r="D203" s="61"/>
    </row>
    <row r="204" ht="22.5" customHeight="1">
      <c r="A204" s="61"/>
      <c r="D204" s="61"/>
    </row>
    <row r="205" ht="22.5" customHeight="1">
      <c r="A205" s="61"/>
      <c r="D205" s="61"/>
    </row>
    <row r="206" ht="22.5" customHeight="1">
      <c r="A206" s="61"/>
      <c r="D206" s="61"/>
    </row>
    <row r="207" ht="22.5" customHeight="1">
      <c r="A207" s="61"/>
      <c r="D207" s="61"/>
    </row>
    <row r="208" ht="22.5" customHeight="1">
      <c r="A208" s="61"/>
      <c r="D208" s="61"/>
    </row>
    <row r="209" ht="22.5" customHeight="1">
      <c r="A209" s="61"/>
      <c r="D209" s="61"/>
    </row>
    <row r="210" ht="22.5" customHeight="1">
      <c r="A210" s="61"/>
      <c r="D210" s="61"/>
    </row>
    <row r="211" ht="22.5" customHeight="1">
      <c r="A211" s="61"/>
      <c r="D211" s="61"/>
    </row>
    <row r="212" ht="22.5" customHeight="1">
      <c r="A212" s="61"/>
      <c r="D212" s="61"/>
    </row>
    <row r="213" ht="22.5" customHeight="1">
      <c r="A213" s="61"/>
      <c r="D213" s="61"/>
    </row>
    <row r="214" ht="22.5" customHeight="1">
      <c r="A214" s="61"/>
      <c r="D214" s="61"/>
    </row>
    <row r="215" ht="22.5" customHeight="1">
      <c r="A215" s="61"/>
      <c r="D215" s="61"/>
    </row>
    <row r="216" ht="22.5" customHeight="1">
      <c r="A216" s="61"/>
      <c r="D216" s="61"/>
    </row>
    <row r="217" ht="22.5" customHeight="1">
      <c r="A217" s="61"/>
      <c r="D217" s="61"/>
    </row>
    <row r="218" ht="22.5" customHeight="1">
      <c r="A218" s="61"/>
      <c r="D218" s="61"/>
    </row>
    <row r="219" ht="22.5" customHeight="1">
      <c r="A219" s="61"/>
      <c r="D219" s="61"/>
    </row>
    <row r="220" ht="22.5" customHeight="1">
      <c r="A220" s="61"/>
      <c r="D220" s="61"/>
    </row>
    <row r="221" ht="22.5" customHeight="1">
      <c r="A221" s="61"/>
      <c r="D221" s="61"/>
    </row>
    <row r="222" ht="22.5" customHeight="1">
      <c r="A222" s="61"/>
      <c r="D222" s="61"/>
    </row>
    <row r="223" ht="22.5" customHeight="1">
      <c r="A223" s="61"/>
      <c r="D223" s="61"/>
    </row>
    <row r="224" ht="22.5" customHeight="1">
      <c r="A224" s="61"/>
      <c r="D224" s="61"/>
    </row>
    <row r="225" ht="22.5" customHeight="1">
      <c r="A225" s="61"/>
      <c r="D225" s="61"/>
    </row>
    <row r="226" ht="22.5" customHeight="1">
      <c r="A226" s="61"/>
      <c r="D226" s="61"/>
    </row>
    <row r="227" ht="22.5" customHeight="1">
      <c r="A227" s="61"/>
      <c r="D227" s="61"/>
    </row>
    <row r="228" ht="22.5" customHeight="1">
      <c r="A228" s="61"/>
      <c r="D228" s="61"/>
    </row>
    <row r="229" ht="22.5" customHeight="1">
      <c r="A229" s="61"/>
      <c r="D229" s="61"/>
    </row>
    <row r="230" ht="22.5" customHeight="1">
      <c r="A230" s="61"/>
      <c r="D230" s="61"/>
    </row>
    <row r="231" ht="22.5" customHeight="1">
      <c r="A231" s="61"/>
      <c r="D231" s="61"/>
    </row>
    <row r="232" ht="22.5" customHeight="1">
      <c r="A232" s="61"/>
      <c r="D232" s="61"/>
    </row>
    <row r="233" ht="22.5" customHeight="1">
      <c r="A233" s="61"/>
      <c r="D233" s="61"/>
    </row>
    <row r="234" ht="22.5" customHeight="1">
      <c r="A234" s="61"/>
      <c r="D234" s="61"/>
    </row>
    <row r="235" ht="22.5" customHeight="1">
      <c r="A235" s="61"/>
      <c r="D235" s="61"/>
    </row>
    <row r="236" ht="22.5" customHeight="1">
      <c r="A236" s="61"/>
      <c r="D236" s="61"/>
    </row>
    <row r="237" ht="22.5" customHeight="1">
      <c r="A237" s="61"/>
      <c r="D237" s="61"/>
    </row>
    <row r="238" ht="22.5" customHeight="1">
      <c r="A238" s="61"/>
      <c r="D238" s="61"/>
    </row>
    <row r="239" ht="22.5" customHeight="1">
      <c r="A239" s="61"/>
      <c r="D239" s="61"/>
    </row>
    <row r="240" ht="22.5" customHeight="1">
      <c r="A240" s="61"/>
      <c r="D240" s="61"/>
    </row>
    <row r="241" ht="22.5" customHeight="1">
      <c r="A241" s="61"/>
      <c r="D241" s="61"/>
    </row>
    <row r="242" ht="22.5" customHeight="1">
      <c r="A242" s="61"/>
      <c r="D242" s="61"/>
    </row>
    <row r="243" ht="22.5" customHeight="1">
      <c r="A243" s="61"/>
      <c r="D243" s="61"/>
    </row>
    <row r="244" ht="22.5" customHeight="1">
      <c r="A244" s="61"/>
      <c r="D244" s="61"/>
    </row>
    <row r="245" ht="22.5" customHeight="1">
      <c r="A245" s="61"/>
      <c r="D245" s="61"/>
    </row>
    <row r="246" ht="22.5" customHeight="1">
      <c r="A246" s="61"/>
      <c r="D246" s="61"/>
    </row>
    <row r="247" ht="22.5" customHeight="1">
      <c r="A247" s="61"/>
      <c r="D247" s="61"/>
    </row>
    <row r="248" ht="22.5" customHeight="1">
      <c r="A248" s="61"/>
      <c r="D248" s="61"/>
    </row>
    <row r="249" ht="22.5" customHeight="1">
      <c r="A249" s="61"/>
      <c r="D249" s="61"/>
    </row>
    <row r="250" ht="22.5" customHeight="1">
      <c r="A250" s="61"/>
      <c r="D250" s="61"/>
    </row>
    <row r="251" ht="22.5" customHeight="1">
      <c r="A251" s="61"/>
      <c r="D251" s="61"/>
    </row>
    <row r="252" ht="22.5" customHeight="1">
      <c r="A252" s="61"/>
      <c r="D252" s="61"/>
    </row>
    <row r="253" ht="22.5" customHeight="1">
      <c r="A253" s="61"/>
      <c r="D253" s="61"/>
    </row>
    <row r="254" ht="22.5" customHeight="1">
      <c r="A254" s="61"/>
      <c r="D254" s="61"/>
    </row>
    <row r="255" ht="22.5" customHeight="1">
      <c r="A255" s="61"/>
      <c r="D255" s="61"/>
    </row>
    <row r="256" ht="22.5" customHeight="1">
      <c r="A256" s="61"/>
      <c r="D256" s="61"/>
    </row>
    <row r="257" ht="22.5" customHeight="1">
      <c r="A257" s="61"/>
      <c r="D257" s="61"/>
    </row>
    <row r="258" ht="22.5" customHeight="1">
      <c r="A258" s="61"/>
      <c r="D258" s="61"/>
    </row>
    <row r="259" ht="22.5" customHeight="1">
      <c r="A259" s="61"/>
      <c r="D259" s="61"/>
    </row>
    <row r="260" ht="22.5" customHeight="1">
      <c r="A260" s="61"/>
      <c r="D260" s="61"/>
    </row>
    <row r="261" ht="22.5" customHeight="1">
      <c r="A261" s="61"/>
      <c r="D261" s="61"/>
    </row>
    <row r="262" ht="22.5" customHeight="1">
      <c r="A262" s="61"/>
      <c r="D262" s="61"/>
    </row>
    <row r="263" ht="22.5" customHeight="1">
      <c r="A263" s="61"/>
      <c r="D263" s="61"/>
    </row>
    <row r="264" ht="22.5" customHeight="1">
      <c r="A264" s="61"/>
      <c r="D264" s="61"/>
    </row>
    <row r="265" ht="22.5" customHeight="1">
      <c r="A265" s="61"/>
      <c r="D265" s="61"/>
    </row>
    <row r="266" ht="22.5" customHeight="1">
      <c r="A266" s="61"/>
      <c r="D266" s="61"/>
    </row>
    <row r="267" ht="22.5" customHeight="1">
      <c r="A267" s="61"/>
      <c r="D267" s="61"/>
    </row>
    <row r="268" ht="22.5" customHeight="1">
      <c r="A268" s="61"/>
      <c r="D268" s="61"/>
    </row>
    <row r="269" ht="22.5" customHeight="1">
      <c r="A269" s="61"/>
      <c r="D269" s="61"/>
    </row>
    <row r="270" ht="22.5" customHeight="1">
      <c r="A270" s="61"/>
      <c r="D270" s="61"/>
    </row>
    <row r="271" ht="22.5" customHeight="1">
      <c r="A271" s="61"/>
      <c r="D271" s="61"/>
    </row>
    <row r="272" ht="22.5" customHeight="1">
      <c r="A272" s="61"/>
      <c r="D272" s="61"/>
    </row>
    <row r="273" ht="22.5" customHeight="1">
      <c r="A273" s="61"/>
      <c r="D273" s="61"/>
    </row>
    <row r="274" ht="22.5" customHeight="1">
      <c r="A274" s="61"/>
      <c r="D274" s="61"/>
    </row>
    <row r="275" ht="22.5" customHeight="1">
      <c r="A275" s="61"/>
      <c r="D275" s="61"/>
    </row>
    <row r="276" ht="22.5" customHeight="1">
      <c r="A276" s="61"/>
      <c r="D276" s="61"/>
    </row>
    <row r="277" ht="22.5" customHeight="1">
      <c r="A277" s="61"/>
      <c r="D277" s="61"/>
    </row>
    <row r="278" ht="22.5" customHeight="1">
      <c r="A278" s="61"/>
      <c r="D278" s="61"/>
    </row>
    <row r="279" ht="22.5" customHeight="1">
      <c r="A279" s="61"/>
      <c r="D279" s="61"/>
    </row>
    <row r="280" ht="22.5" customHeight="1">
      <c r="A280" s="61"/>
      <c r="D280" s="61"/>
    </row>
    <row r="281" ht="22.5" customHeight="1">
      <c r="A281" s="61"/>
      <c r="D281" s="61"/>
    </row>
    <row r="282" ht="22.5" customHeight="1">
      <c r="A282" s="61"/>
      <c r="D282" s="61"/>
    </row>
    <row r="283" ht="22.5" customHeight="1">
      <c r="A283" s="61"/>
      <c r="D283" s="61"/>
    </row>
    <row r="284" ht="22.5" customHeight="1">
      <c r="A284" s="61"/>
      <c r="D284" s="61"/>
    </row>
    <row r="285" ht="22.5" customHeight="1">
      <c r="A285" s="61"/>
      <c r="D285" s="61"/>
    </row>
    <row r="286" ht="22.5" customHeight="1">
      <c r="A286" s="61"/>
      <c r="D286" s="61"/>
    </row>
    <row r="287" ht="22.5" customHeight="1">
      <c r="A287" s="61"/>
      <c r="D287" s="61"/>
    </row>
    <row r="288" ht="22.5" customHeight="1">
      <c r="A288" s="61"/>
      <c r="D288" s="61"/>
    </row>
    <row r="289" ht="22.5" customHeight="1">
      <c r="A289" s="61"/>
      <c r="D289" s="61"/>
    </row>
    <row r="290" ht="22.5" customHeight="1">
      <c r="A290" s="61"/>
      <c r="D290" s="61"/>
    </row>
    <row r="291" ht="22.5" customHeight="1">
      <c r="A291" s="61"/>
      <c r="D291" s="61"/>
    </row>
    <row r="292" ht="22.5" customHeight="1">
      <c r="A292" s="61"/>
      <c r="D292" s="61"/>
    </row>
    <row r="293" ht="22.5" customHeight="1">
      <c r="A293" s="64"/>
      <c r="D293" s="61"/>
    </row>
    <row r="294" ht="22.5" customHeight="1">
      <c r="A294" s="64"/>
      <c r="D294" s="61"/>
    </row>
    <row r="295" ht="22.5" customHeight="1">
      <c r="A295" s="64"/>
      <c r="D295" s="61"/>
    </row>
    <row r="296" ht="22.5" customHeight="1">
      <c r="A296" s="64"/>
      <c r="D296" s="61"/>
    </row>
    <row r="297" ht="22.5" customHeight="1">
      <c r="A297" s="64"/>
      <c r="D297" s="61"/>
    </row>
    <row r="298" ht="22.5" customHeight="1">
      <c r="A298" s="64"/>
      <c r="D298" s="61"/>
    </row>
    <row r="299" ht="22.5" customHeight="1">
      <c r="A299" s="64"/>
      <c r="D299" s="61"/>
    </row>
    <row r="300" ht="22.5" customHeight="1">
      <c r="A300" s="64"/>
      <c r="D300" s="61"/>
    </row>
    <row r="301" ht="22.5" customHeight="1">
      <c r="A301" s="64"/>
      <c r="D301" s="61"/>
    </row>
    <row r="302" ht="22.5" customHeight="1">
      <c r="A302" s="64"/>
      <c r="D302" s="61"/>
    </row>
    <row r="303" ht="22.5" customHeight="1">
      <c r="A303" s="64"/>
      <c r="D303" s="61"/>
    </row>
    <row r="304" ht="22.5" customHeight="1">
      <c r="A304" s="64"/>
      <c r="D304" s="61"/>
    </row>
    <row r="305" ht="22.5" customHeight="1">
      <c r="A305" s="64"/>
      <c r="D305" s="61"/>
    </row>
    <row r="306" ht="22.5" customHeight="1">
      <c r="A306" s="64"/>
      <c r="D306" s="61"/>
    </row>
    <row r="307" ht="22.5" customHeight="1">
      <c r="A307" s="64"/>
      <c r="D307" s="61"/>
    </row>
    <row r="308" ht="22.5" customHeight="1">
      <c r="A308" s="64"/>
      <c r="D308" s="61"/>
    </row>
    <row r="309" ht="22.5" customHeight="1">
      <c r="A309" s="64"/>
      <c r="D309" s="61"/>
    </row>
    <row r="310" ht="22.5" customHeight="1">
      <c r="A310" s="64"/>
      <c r="D310" s="61"/>
    </row>
    <row r="311" ht="22.5" customHeight="1">
      <c r="A311" s="64"/>
      <c r="D311" s="61"/>
    </row>
    <row r="312" ht="22.5" customHeight="1">
      <c r="A312" s="64"/>
      <c r="D312" s="61"/>
    </row>
    <row r="313" ht="22.5" customHeight="1">
      <c r="A313" s="64"/>
      <c r="D313" s="61"/>
    </row>
    <row r="314" ht="22.5" customHeight="1">
      <c r="A314" s="64"/>
      <c r="D314" s="61"/>
    </row>
    <row r="315" ht="22.5" customHeight="1">
      <c r="A315" s="64"/>
      <c r="D315" s="61"/>
    </row>
    <row r="316" ht="22.5" customHeight="1">
      <c r="A316" s="64"/>
      <c r="D316" s="61"/>
    </row>
    <row r="317" ht="22.5" customHeight="1">
      <c r="A317" s="64"/>
      <c r="D317" s="61"/>
    </row>
    <row r="318" ht="22.5" customHeight="1">
      <c r="A318" s="64"/>
      <c r="D318" s="61"/>
    </row>
    <row r="319" ht="22.5" customHeight="1">
      <c r="A319" s="64"/>
      <c r="D319" s="61"/>
    </row>
    <row r="320" ht="22.5" customHeight="1">
      <c r="A320" s="64"/>
      <c r="D320" s="61"/>
    </row>
    <row r="321" ht="22.5" customHeight="1">
      <c r="A321" s="64"/>
      <c r="D321" s="61"/>
    </row>
    <row r="322" ht="22.5" customHeight="1">
      <c r="A322" s="64"/>
      <c r="D322" s="61"/>
    </row>
    <row r="323" ht="22.5" customHeight="1">
      <c r="A323" s="64"/>
      <c r="D323" s="61"/>
    </row>
    <row r="324" ht="22.5" customHeight="1">
      <c r="A324" s="64"/>
      <c r="D324" s="61"/>
    </row>
    <row r="325" ht="22.5" customHeight="1">
      <c r="A325" s="64"/>
      <c r="D325" s="61"/>
    </row>
    <row r="326" ht="22.5" customHeight="1">
      <c r="A326" s="64"/>
      <c r="D326" s="61"/>
    </row>
    <row r="327" ht="22.5" customHeight="1">
      <c r="A327" s="64"/>
      <c r="D327" s="61"/>
    </row>
    <row r="328" ht="22.5" customHeight="1">
      <c r="A328" s="64"/>
      <c r="D328" s="61"/>
    </row>
    <row r="329" ht="22.5" customHeight="1">
      <c r="A329" s="64"/>
      <c r="D329" s="61"/>
    </row>
    <row r="330" ht="22.5" customHeight="1">
      <c r="A330" s="64"/>
      <c r="D330" s="61"/>
    </row>
    <row r="331" ht="22.5" customHeight="1">
      <c r="A331" s="64"/>
      <c r="D331" s="61"/>
    </row>
    <row r="332" ht="22.5" customHeight="1">
      <c r="A332" s="64"/>
      <c r="D332" s="61"/>
    </row>
    <row r="333" ht="22.5" customHeight="1">
      <c r="A333" s="64"/>
      <c r="D333" s="61"/>
    </row>
    <row r="334" ht="22.5" customHeight="1">
      <c r="A334" s="64"/>
      <c r="D334" s="61"/>
    </row>
    <row r="335" ht="22.5" customHeight="1">
      <c r="A335" s="64"/>
      <c r="D335" s="61"/>
    </row>
    <row r="336" ht="22.5" customHeight="1">
      <c r="A336" s="64"/>
      <c r="D336" s="61"/>
    </row>
    <row r="337" ht="22.5" customHeight="1">
      <c r="A337" s="64"/>
      <c r="D337" s="61"/>
    </row>
    <row r="338">
      <c r="I338" s="65"/>
      <c r="J338" s="65"/>
    </row>
    <row r="339">
      <c r="I339" s="65"/>
      <c r="J339" s="65"/>
    </row>
    <row r="340">
      <c r="I340" s="65"/>
      <c r="J340" s="65"/>
    </row>
    <row r="341">
      <c r="J341" s="65"/>
    </row>
  </sheetData>
  <dataValidations>
    <dataValidation type="list" allowBlank="1" sqref="A2:A337">
      <formula1>"ICAR-CPCRI Kasaragod,ICAR-Central Tuber Crops Research Institute (CTCRI) Thiruvananthapuram,CSIR-National Institute for Interdisciplinary Science and Technology (NIIST),CSIR-National Institute for Interdisciplinary Science and Technology (NIIST),Kerala Un"&amp;"iversity of Fisheries and Ocean Studies (KUFOS),Kerala Agricultural University,ICAR-Indian Institute of Spices Research (IISR),Centre for Development of Advanced Computing (C-DAC),Sree Chitra Tirunal Institute for Medical Sciences and Technology (SCTIMST)"&amp;",C-MET Kerala,ICAR-Sugarcane Breeding Institute Research Centre, Kannur,National Coir Research &amp; Management Institute (NCRMI),Institute of Advanced Virology (IAV),KSCSTE- Jawaharlal Nehru Tropical Botanic Garden &amp; Research Institute (JNTBGRI),KSCSTE- Mala"&amp;"bar Botanical Garden &amp; Institute for Plant Sciences (MBGIPS),KSCSTE- Kerala Forest Research Institute (KFRI),KSCSTE- Centre for Water Resources Development and Management (CWRDM),KSCSTE-Institute for Climate Change Studies,Integrated Rural Technology cent"&amp;"re (IRTC) ,KSCSTE - Srinivasa Ramanujan Institute for Basic Sciences,KSCSTE - National Transportation Planning and Research Centre (NATPAC),KSCSTE - Sophisticated Test and Instrumentation Centre (STIC),Centre of Excellence in Nutraceuticals (CoEN)"</formula1>
    </dataValidation>
    <dataValidation type="list" allowBlank="1" sqref="D2:D337">
      <formula1>"Kasaragod,Thiruvananthapuram,Ernakulam,Thrissur,Kozhikode,Thiruvananthapuram,Kannur,Kottayam,Palakkad"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4"/>
    <hyperlink r:id="rId11" ref="B15"/>
    <hyperlink r:id="rId12" ref="B16"/>
    <hyperlink r:id="rId13" ref="B17"/>
  </hyperlinks>
  <drawing r:id="rId14"/>
  <tableParts count="1">
    <tablePart r:id="rId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42.63"/>
    <col customWidth="1" min="3" max="3" width="55.38"/>
    <col customWidth="1" min="4" max="4" width="18.38"/>
    <col customWidth="1" min="5" max="5" width="24.5"/>
    <col customWidth="1" min="6" max="6" width="29.63"/>
    <col customWidth="1" min="7" max="7" width="27.25"/>
    <col customWidth="1" min="8" max="8" width="55.25"/>
    <col customWidth="1" min="9" max="9" width="40.5"/>
    <col customWidth="1" min="10" max="10" width="21.5"/>
    <col customWidth="1" min="11" max="11" width="15.88"/>
    <col customWidth="1" min="12" max="12" width="18.88"/>
    <col customWidth="1" min="13" max="13" width="22.38"/>
    <col customWidth="1" min="14" max="14" width="20.38"/>
    <col customWidth="1" min="15" max="15" width="13.5"/>
    <col customWidth="1" min="16" max="16" width="21.0"/>
    <col customWidth="1" min="17" max="17" width="13.88"/>
    <col customWidth="1" min="18" max="18" width="27.25"/>
    <col customWidth="1" min="19" max="19" width="26.25"/>
    <col customWidth="1" min="20" max="20" width="25.75"/>
    <col customWidth="1" min="21" max="21" width="19.75"/>
    <col customWidth="1" min="22" max="22" width="33.88"/>
    <col customWidth="1" min="23" max="23" width="35.25"/>
  </cols>
  <sheetData>
    <row r="1" ht="22.5" customHeight="1">
      <c r="A1" s="55" t="s">
        <v>0</v>
      </c>
      <c r="B1" s="55" t="s">
        <v>1</v>
      </c>
      <c r="C1" s="55" t="s">
        <v>2</v>
      </c>
      <c r="D1" s="55" t="s">
        <v>2006</v>
      </c>
      <c r="E1" s="66" t="s">
        <v>2007</v>
      </c>
      <c r="F1" s="55" t="s">
        <v>4</v>
      </c>
      <c r="G1" s="55" t="s">
        <v>5</v>
      </c>
      <c r="H1" s="55" t="s">
        <v>6</v>
      </c>
      <c r="I1" s="55" t="s">
        <v>2008</v>
      </c>
      <c r="J1" s="55" t="s">
        <v>8</v>
      </c>
      <c r="K1" s="55" t="s">
        <v>9</v>
      </c>
      <c r="L1" s="55" t="s">
        <v>10</v>
      </c>
      <c r="M1" s="66" t="s">
        <v>2009</v>
      </c>
      <c r="N1" s="55" t="s">
        <v>11</v>
      </c>
      <c r="O1" s="55" t="s">
        <v>12</v>
      </c>
      <c r="P1" s="55" t="s">
        <v>13</v>
      </c>
      <c r="Q1" s="55" t="s">
        <v>14</v>
      </c>
      <c r="R1" s="55" t="s">
        <v>15</v>
      </c>
      <c r="S1" s="57" t="s">
        <v>16</v>
      </c>
      <c r="T1" s="57" t="s">
        <v>2010</v>
      </c>
      <c r="U1" s="56" t="s">
        <v>2011</v>
      </c>
      <c r="V1" s="67" t="s">
        <v>2012</v>
      </c>
    </row>
    <row r="2" ht="22.5" customHeight="1">
      <c r="A2" s="31" t="s">
        <v>1370</v>
      </c>
      <c r="B2" s="31" t="s">
        <v>1371</v>
      </c>
      <c r="C2" s="32" t="s">
        <v>1372</v>
      </c>
      <c r="D2" s="32" t="s">
        <v>183</v>
      </c>
      <c r="E2" s="31" t="s">
        <v>2013</v>
      </c>
      <c r="F2" s="31" t="s">
        <v>1373</v>
      </c>
      <c r="G2" s="31" t="s">
        <v>1374</v>
      </c>
      <c r="H2" s="31" t="s">
        <v>1375</v>
      </c>
      <c r="I2" s="31" t="s">
        <v>1376</v>
      </c>
      <c r="J2" s="32" t="s">
        <v>26</v>
      </c>
      <c r="K2" s="32" t="s">
        <v>26</v>
      </c>
      <c r="L2" s="32" t="s">
        <v>26</v>
      </c>
      <c r="M2" s="38" t="s">
        <v>2014</v>
      </c>
      <c r="N2" s="31" t="s">
        <v>1377</v>
      </c>
      <c r="O2" s="31" t="s">
        <v>1378</v>
      </c>
      <c r="P2" s="31" t="s">
        <v>1379</v>
      </c>
      <c r="Q2" s="33">
        <f t="array" ref="Q2:Q71">SEQUENCE(70,1)</f>
        <v>1</v>
      </c>
      <c r="R2" s="31" t="s">
        <v>1380</v>
      </c>
      <c r="S2" s="31" t="s">
        <v>26</v>
      </c>
      <c r="T2" s="68" t="s">
        <v>2015</v>
      </c>
      <c r="U2" s="31" t="s">
        <v>26</v>
      </c>
      <c r="V2" s="31" t="s">
        <v>2016</v>
      </c>
    </row>
    <row r="3" ht="22.5" customHeight="1">
      <c r="A3" s="34" t="s">
        <v>1381</v>
      </c>
      <c r="B3" s="34" t="s">
        <v>1382</v>
      </c>
      <c r="C3" s="35" t="s">
        <v>1383</v>
      </c>
      <c r="D3" s="35" t="s">
        <v>183</v>
      </c>
      <c r="E3" s="69" t="s">
        <v>2017</v>
      </c>
      <c r="F3" s="36" t="s">
        <v>1121</v>
      </c>
      <c r="G3" s="34" t="s">
        <v>1384</v>
      </c>
      <c r="H3" s="34" t="s">
        <v>1385</v>
      </c>
      <c r="I3" s="34" t="s">
        <v>1386</v>
      </c>
      <c r="J3" s="35" t="s">
        <v>26</v>
      </c>
      <c r="K3" s="35" t="s">
        <v>26</v>
      </c>
      <c r="L3" s="35" t="s">
        <v>1387</v>
      </c>
      <c r="M3" s="36" t="s">
        <v>2014</v>
      </c>
      <c r="N3" s="36" t="s">
        <v>1388</v>
      </c>
      <c r="O3" s="36" t="s">
        <v>1389</v>
      </c>
      <c r="P3" s="34" t="s">
        <v>1390</v>
      </c>
      <c r="Q3" s="37">
        <v>2.0</v>
      </c>
      <c r="R3" s="34" t="s">
        <v>1391</v>
      </c>
      <c r="S3" s="34" t="s">
        <v>26</v>
      </c>
      <c r="T3" s="70" t="s">
        <v>2018</v>
      </c>
      <c r="U3" s="34" t="s">
        <v>26</v>
      </c>
      <c r="V3" s="34" t="s">
        <v>2019</v>
      </c>
      <c r="W3" s="71"/>
      <c r="X3" s="71"/>
      <c r="Y3" s="71"/>
      <c r="Z3" s="71"/>
      <c r="AA3" s="71"/>
    </row>
    <row r="4" ht="22.5" customHeight="1">
      <c r="A4" s="31" t="s">
        <v>1392</v>
      </c>
      <c r="B4" s="31" t="s">
        <v>1393</v>
      </c>
      <c r="C4" s="32" t="s">
        <v>1372</v>
      </c>
      <c r="D4" s="32" t="s">
        <v>31</v>
      </c>
      <c r="E4" s="72" t="s">
        <v>2020</v>
      </c>
      <c r="F4" s="38" t="s">
        <v>1309</v>
      </c>
      <c r="G4" s="31" t="s">
        <v>1394</v>
      </c>
      <c r="H4" s="31" t="s">
        <v>1395</v>
      </c>
      <c r="I4" s="31" t="s">
        <v>1396</v>
      </c>
      <c r="J4" s="32" t="s">
        <v>26</v>
      </c>
      <c r="K4" s="32" t="s">
        <v>26</v>
      </c>
      <c r="L4" s="32" t="s">
        <v>26</v>
      </c>
      <c r="M4" s="38" t="s">
        <v>2014</v>
      </c>
      <c r="N4" s="38" t="s">
        <v>1397</v>
      </c>
      <c r="O4" s="38" t="s">
        <v>1378</v>
      </c>
      <c r="P4" s="31" t="s">
        <v>1390</v>
      </c>
      <c r="Q4" s="33">
        <v>3.0</v>
      </c>
      <c r="R4" s="31" t="s">
        <v>1398</v>
      </c>
      <c r="S4" s="31" t="s">
        <v>26</v>
      </c>
      <c r="T4" s="68" t="s">
        <v>2015</v>
      </c>
      <c r="U4" s="31" t="s">
        <v>26</v>
      </c>
      <c r="V4" s="31" t="s">
        <v>2021</v>
      </c>
    </row>
    <row r="5" ht="22.5" customHeight="1">
      <c r="A5" s="31" t="s">
        <v>1399</v>
      </c>
      <c r="B5" s="31" t="s">
        <v>1400</v>
      </c>
      <c r="C5" s="32" t="s">
        <v>1383</v>
      </c>
      <c r="D5" s="32" t="s">
        <v>183</v>
      </c>
      <c r="E5" s="72" t="s">
        <v>2022</v>
      </c>
      <c r="F5" s="38" t="s">
        <v>1401</v>
      </c>
      <c r="G5" s="31" t="s">
        <v>1402</v>
      </c>
      <c r="H5" s="31" t="s">
        <v>1403</v>
      </c>
      <c r="I5" s="31" t="s">
        <v>1404</v>
      </c>
      <c r="J5" s="32" t="s">
        <v>26</v>
      </c>
      <c r="K5" s="32" t="s">
        <v>26</v>
      </c>
      <c r="L5" s="32" t="s">
        <v>26</v>
      </c>
      <c r="M5" s="38" t="s">
        <v>2014</v>
      </c>
      <c r="N5" s="38" t="s">
        <v>1405</v>
      </c>
      <c r="O5" s="38" t="s">
        <v>1406</v>
      </c>
      <c r="P5" s="31" t="s">
        <v>1390</v>
      </c>
      <c r="Q5" s="33">
        <v>4.0</v>
      </c>
      <c r="R5" s="31" t="s">
        <v>1407</v>
      </c>
      <c r="S5" s="31" t="s">
        <v>26</v>
      </c>
      <c r="T5" s="68" t="s">
        <v>2018</v>
      </c>
      <c r="U5" s="31" t="s">
        <v>26</v>
      </c>
      <c r="V5" s="31" t="s">
        <v>2023</v>
      </c>
    </row>
    <row r="6" ht="22.5" customHeight="1">
      <c r="A6" s="31" t="s">
        <v>1408</v>
      </c>
      <c r="B6" s="31" t="s">
        <v>1409</v>
      </c>
      <c r="C6" s="32" t="s">
        <v>1410</v>
      </c>
      <c r="D6" s="32" t="s">
        <v>183</v>
      </c>
      <c r="E6" s="72" t="s">
        <v>2024</v>
      </c>
      <c r="F6" s="38" t="s">
        <v>1411</v>
      </c>
      <c r="G6" s="31" t="s">
        <v>1412</v>
      </c>
      <c r="H6" s="31" t="s">
        <v>1413</v>
      </c>
      <c r="I6" s="31" t="s">
        <v>1414</v>
      </c>
      <c r="J6" s="32" t="s">
        <v>26</v>
      </c>
      <c r="K6" s="32" t="s">
        <v>26</v>
      </c>
      <c r="L6" s="32" t="s">
        <v>26</v>
      </c>
      <c r="M6" s="38" t="s">
        <v>2014</v>
      </c>
      <c r="N6" s="38" t="s">
        <v>1415</v>
      </c>
      <c r="O6" s="38" t="s">
        <v>1416</v>
      </c>
      <c r="P6" s="31" t="s">
        <v>1390</v>
      </c>
      <c r="Q6" s="33">
        <v>5.0</v>
      </c>
      <c r="R6" s="31" t="s">
        <v>1417</v>
      </c>
      <c r="S6" s="31" t="s">
        <v>26</v>
      </c>
      <c r="T6" s="68" t="s">
        <v>2025</v>
      </c>
      <c r="U6" s="31" t="s">
        <v>26</v>
      </c>
      <c r="V6" s="31" t="s">
        <v>2026</v>
      </c>
    </row>
    <row r="7" ht="22.5" customHeight="1">
      <c r="A7" s="31" t="s">
        <v>1418</v>
      </c>
      <c r="B7" s="31" t="s">
        <v>1419</v>
      </c>
      <c r="C7" s="32" t="s">
        <v>1420</v>
      </c>
      <c r="D7" s="32" t="s">
        <v>183</v>
      </c>
      <c r="E7" s="72" t="s">
        <v>2027</v>
      </c>
      <c r="F7" s="38" t="s">
        <v>1373</v>
      </c>
      <c r="G7" s="31" t="s">
        <v>1421</v>
      </c>
      <c r="H7" s="31" t="s">
        <v>1422</v>
      </c>
      <c r="I7" s="31" t="s">
        <v>1423</v>
      </c>
      <c r="J7" s="32" t="s">
        <v>26</v>
      </c>
      <c r="K7" s="32" t="s">
        <v>26</v>
      </c>
      <c r="L7" s="32" t="s">
        <v>26</v>
      </c>
      <c r="M7" s="38" t="s">
        <v>2014</v>
      </c>
      <c r="N7" s="38" t="s">
        <v>1424</v>
      </c>
      <c r="O7" s="38" t="s">
        <v>1425</v>
      </c>
      <c r="P7" s="31" t="s">
        <v>1390</v>
      </c>
      <c r="Q7" s="33">
        <v>6.0</v>
      </c>
      <c r="R7" s="31" t="s">
        <v>1426</v>
      </c>
      <c r="S7" s="31" t="s">
        <v>26</v>
      </c>
      <c r="T7" s="68" t="s">
        <v>2028</v>
      </c>
      <c r="U7" s="31" t="s">
        <v>26</v>
      </c>
      <c r="V7" s="31" t="s">
        <v>2029</v>
      </c>
    </row>
    <row r="8" ht="22.5" customHeight="1">
      <c r="A8" s="31" t="s">
        <v>1427</v>
      </c>
      <c r="B8" s="31" t="s">
        <v>1428</v>
      </c>
      <c r="C8" s="32" t="s">
        <v>1372</v>
      </c>
      <c r="D8" s="32" t="s">
        <v>46</v>
      </c>
      <c r="E8" s="72" t="s">
        <v>2030</v>
      </c>
      <c r="F8" s="38" t="s">
        <v>1429</v>
      </c>
      <c r="G8" s="31" t="s">
        <v>1430</v>
      </c>
      <c r="H8" s="31" t="s">
        <v>1431</v>
      </c>
      <c r="I8" s="31" t="s">
        <v>1432</v>
      </c>
      <c r="J8" s="32" t="s">
        <v>26</v>
      </c>
      <c r="K8" s="32" t="s">
        <v>26</v>
      </c>
      <c r="L8" s="32" t="s">
        <v>26</v>
      </c>
      <c r="M8" s="38" t="s">
        <v>2014</v>
      </c>
      <c r="N8" s="38" t="s">
        <v>1433</v>
      </c>
      <c r="O8" s="38" t="s">
        <v>1434</v>
      </c>
      <c r="P8" s="31" t="s">
        <v>1390</v>
      </c>
      <c r="Q8" s="33">
        <v>7.0</v>
      </c>
      <c r="R8" s="31" t="s">
        <v>1435</v>
      </c>
      <c r="S8" s="31" t="s">
        <v>26</v>
      </c>
      <c r="T8" s="68" t="s">
        <v>2015</v>
      </c>
      <c r="U8" s="31" t="s">
        <v>26</v>
      </c>
      <c r="V8" s="31" t="s">
        <v>2031</v>
      </c>
    </row>
    <row r="9" ht="22.5" customHeight="1">
      <c r="A9" s="31" t="s">
        <v>1436</v>
      </c>
      <c r="B9" s="31" t="s">
        <v>1437</v>
      </c>
      <c r="C9" s="32" t="s">
        <v>1410</v>
      </c>
      <c r="D9" s="32" t="s">
        <v>46</v>
      </c>
      <c r="E9" s="72" t="s">
        <v>2032</v>
      </c>
      <c r="F9" s="38" t="s">
        <v>1438</v>
      </c>
      <c r="G9" s="31" t="s">
        <v>1439</v>
      </c>
      <c r="H9" s="31" t="s">
        <v>1440</v>
      </c>
      <c r="I9" s="31" t="s">
        <v>1441</v>
      </c>
      <c r="J9" s="32" t="s">
        <v>26</v>
      </c>
      <c r="K9" s="32" t="s">
        <v>26</v>
      </c>
      <c r="L9" s="32" t="s">
        <v>26</v>
      </c>
      <c r="M9" s="38" t="s">
        <v>2014</v>
      </c>
      <c r="N9" s="38" t="s">
        <v>1442</v>
      </c>
      <c r="O9" s="38" t="s">
        <v>1443</v>
      </c>
      <c r="P9" s="31" t="s">
        <v>1390</v>
      </c>
      <c r="Q9" s="33">
        <v>8.0</v>
      </c>
      <c r="R9" s="31" t="s">
        <v>1444</v>
      </c>
      <c r="S9" s="31" t="s">
        <v>26</v>
      </c>
      <c r="T9" s="68" t="s">
        <v>2025</v>
      </c>
      <c r="U9" s="31" t="s">
        <v>26</v>
      </c>
      <c r="V9" s="31" t="s">
        <v>2033</v>
      </c>
    </row>
    <row r="10" ht="22.5" customHeight="1">
      <c r="A10" s="31" t="s">
        <v>1445</v>
      </c>
      <c r="B10" s="31" t="s">
        <v>1446</v>
      </c>
      <c r="C10" s="32" t="s">
        <v>1410</v>
      </c>
      <c r="D10" s="32" t="s">
        <v>46</v>
      </c>
      <c r="E10" s="72" t="s">
        <v>2034</v>
      </c>
      <c r="F10" s="38" t="s">
        <v>1121</v>
      </c>
      <c r="G10" s="31" t="s">
        <v>1447</v>
      </c>
      <c r="H10" s="31" t="s">
        <v>1448</v>
      </c>
      <c r="I10" s="31" t="s">
        <v>1449</v>
      </c>
      <c r="J10" s="32" t="s">
        <v>25</v>
      </c>
      <c r="K10" s="32" t="s">
        <v>26</v>
      </c>
      <c r="L10" s="32" t="s">
        <v>26</v>
      </c>
      <c r="M10" s="38" t="s">
        <v>2014</v>
      </c>
      <c r="N10" s="38" t="s">
        <v>1450</v>
      </c>
      <c r="O10" s="38" t="s">
        <v>1416</v>
      </c>
      <c r="P10" s="31" t="s">
        <v>1390</v>
      </c>
      <c r="Q10" s="33">
        <v>9.0</v>
      </c>
      <c r="R10" s="31" t="s">
        <v>1451</v>
      </c>
      <c r="S10" s="31" t="s">
        <v>26</v>
      </c>
      <c r="T10" s="68" t="s">
        <v>2025</v>
      </c>
      <c r="U10" s="31" t="s">
        <v>26</v>
      </c>
      <c r="V10" s="31" t="s">
        <v>2035</v>
      </c>
    </row>
    <row r="11" ht="22.5" customHeight="1">
      <c r="A11" s="31" t="s">
        <v>1452</v>
      </c>
      <c r="B11" s="31" t="s">
        <v>1453</v>
      </c>
      <c r="C11" s="32" t="s">
        <v>1383</v>
      </c>
      <c r="D11" s="32" t="s">
        <v>46</v>
      </c>
      <c r="E11" s="72" t="s">
        <v>2036</v>
      </c>
      <c r="F11" s="38" t="s">
        <v>1454</v>
      </c>
      <c r="G11" s="31" t="s">
        <v>1455</v>
      </c>
      <c r="H11" s="31" t="s">
        <v>1456</v>
      </c>
      <c r="I11" s="31" t="s">
        <v>1457</v>
      </c>
      <c r="J11" s="32" t="s">
        <v>26</v>
      </c>
      <c r="K11" s="32" t="s">
        <v>26</v>
      </c>
      <c r="L11" s="32" t="s">
        <v>26</v>
      </c>
      <c r="M11" s="38" t="s">
        <v>2014</v>
      </c>
      <c r="N11" s="38" t="s">
        <v>1458</v>
      </c>
      <c r="O11" s="38" t="s">
        <v>1459</v>
      </c>
      <c r="P11" s="31" t="s">
        <v>1390</v>
      </c>
      <c r="Q11" s="33">
        <v>10.0</v>
      </c>
      <c r="R11" s="31" t="s">
        <v>1460</v>
      </c>
      <c r="S11" s="31" t="s">
        <v>26</v>
      </c>
      <c r="T11" s="68" t="s">
        <v>2018</v>
      </c>
      <c r="U11" s="31" t="s">
        <v>26</v>
      </c>
      <c r="V11" s="31" t="s">
        <v>2037</v>
      </c>
    </row>
    <row r="12" ht="22.5" customHeight="1">
      <c r="A12" s="31" t="s">
        <v>1461</v>
      </c>
      <c r="B12" s="31" t="s">
        <v>1462</v>
      </c>
      <c r="C12" s="32" t="s">
        <v>1383</v>
      </c>
      <c r="D12" s="32" t="s">
        <v>46</v>
      </c>
      <c r="E12" s="72" t="s">
        <v>2038</v>
      </c>
      <c r="F12" s="38" t="s">
        <v>1309</v>
      </c>
      <c r="G12" s="31" t="s">
        <v>1463</v>
      </c>
      <c r="H12" s="31" t="s">
        <v>1464</v>
      </c>
      <c r="I12" s="31" t="s">
        <v>1465</v>
      </c>
      <c r="J12" s="32" t="s">
        <v>26</v>
      </c>
      <c r="K12" s="32" t="s">
        <v>26</v>
      </c>
      <c r="L12" s="32" t="s">
        <v>26</v>
      </c>
      <c r="M12" s="38" t="s">
        <v>2014</v>
      </c>
      <c r="N12" s="38" t="s">
        <v>1466</v>
      </c>
      <c r="O12" s="38" t="s">
        <v>1467</v>
      </c>
      <c r="P12" s="31" t="s">
        <v>1390</v>
      </c>
      <c r="Q12" s="33">
        <v>11.0</v>
      </c>
      <c r="R12" s="31" t="s">
        <v>1468</v>
      </c>
      <c r="S12" s="31" t="s">
        <v>26</v>
      </c>
      <c r="T12" s="68" t="s">
        <v>2018</v>
      </c>
      <c r="U12" s="31" t="s">
        <v>26</v>
      </c>
      <c r="V12" s="31" t="s">
        <v>2039</v>
      </c>
    </row>
    <row r="13" ht="22.5" customHeight="1">
      <c r="A13" s="31" t="s">
        <v>1469</v>
      </c>
      <c r="B13" s="31" t="s">
        <v>1470</v>
      </c>
      <c r="C13" s="32" t="s">
        <v>1383</v>
      </c>
      <c r="D13" s="32" t="s">
        <v>568</v>
      </c>
      <c r="E13" s="72" t="s">
        <v>2040</v>
      </c>
      <c r="F13" s="38" t="s">
        <v>1471</v>
      </c>
      <c r="G13" s="31" t="s">
        <v>1472</v>
      </c>
      <c r="H13" s="31" t="s">
        <v>1473</v>
      </c>
      <c r="I13" s="31" t="s">
        <v>1474</v>
      </c>
      <c r="J13" s="32" t="s">
        <v>51</v>
      </c>
      <c r="K13" s="32" t="s">
        <v>26</v>
      </c>
      <c r="L13" s="32" t="s">
        <v>26</v>
      </c>
      <c r="M13" s="38" t="s">
        <v>2014</v>
      </c>
      <c r="N13" s="38" t="s">
        <v>1475</v>
      </c>
      <c r="O13" s="38" t="s">
        <v>1476</v>
      </c>
      <c r="P13" s="31" t="s">
        <v>1390</v>
      </c>
      <c r="Q13" s="33">
        <v>12.0</v>
      </c>
      <c r="R13" s="31" t="s">
        <v>1477</v>
      </c>
      <c r="S13" s="31" t="s">
        <v>26</v>
      </c>
      <c r="T13" s="68" t="s">
        <v>2018</v>
      </c>
      <c r="U13" s="31" t="s">
        <v>26</v>
      </c>
      <c r="V13" s="31" t="s">
        <v>2041</v>
      </c>
    </row>
    <row r="14" ht="22.5" customHeight="1">
      <c r="A14" s="31" t="s">
        <v>1478</v>
      </c>
      <c r="B14" s="31" t="s">
        <v>1479</v>
      </c>
      <c r="C14" s="32" t="s">
        <v>1383</v>
      </c>
      <c r="D14" s="32" t="s">
        <v>46</v>
      </c>
      <c r="E14" s="72" t="s">
        <v>2042</v>
      </c>
      <c r="F14" s="38" t="s">
        <v>1480</v>
      </c>
      <c r="G14" s="31" t="s">
        <v>1481</v>
      </c>
      <c r="H14" s="31" t="s">
        <v>1482</v>
      </c>
      <c r="I14" s="31" t="s">
        <v>1483</v>
      </c>
      <c r="J14" s="32" t="s">
        <v>26</v>
      </c>
      <c r="K14" s="32" t="s">
        <v>26</v>
      </c>
      <c r="L14" s="32" t="s">
        <v>26</v>
      </c>
      <c r="M14" s="38" t="s">
        <v>2014</v>
      </c>
      <c r="N14" s="38" t="s">
        <v>1484</v>
      </c>
      <c r="O14" s="38" t="s">
        <v>1485</v>
      </c>
      <c r="P14" s="31" t="s">
        <v>1390</v>
      </c>
      <c r="Q14" s="33">
        <v>13.0</v>
      </c>
      <c r="R14" s="31" t="s">
        <v>1486</v>
      </c>
      <c r="S14" s="31" t="s">
        <v>26</v>
      </c>
      <c r="T14" s="68" t="s">
        <v>2018</v>
      </c>
      <c r="U14" s="31" t="s">
        <v>26</v>
      </c>
      <c r="V14" s="31" t="s">
        <v>2043</v>
      </c>
    </row>
    <row r="15" ht="22.5" customHeight="1">
      <c r="A15" s="31" t="s">
        <v>1487</v>
      </c>
      <c r="B15" s="31" t="s">
        <v>1488</v>
      </c>
      <c r="C15" s="32" t="s">
        <v>1410</v>
      </c>
      <c r="D15" s="32" t="s">
        <v>46</v>
      </c>
      <c r="E15" s="72" t="s">
        <v>2044</v>
      </c>
      <c r="F15" s="38" t="s">
        <v>1489</v>
      </c>
      <c r="G15" s="31" t="s">
        <v>1490</v>
      </c>
      <c r="H15" s="31" t="s">
        <v>1491</v>
      </c>
      <c r="I15" s="31" t="s">
        <v>1492</v>
      </c>
      <c r="J15" s="32" t="s">
        <v>26</v>
      </c>
      <c r="K15" s="32" t="s">
        <v>26</v>
      </c>
      <c r="L15" s="32" t="s">
        <v>1387</v>
      </c>
      <c r="M15" s="38" t="s">
        <v>2014</v>
      </c>
      <c r="N15" s="38" t="s">
        <v>1493</v>
      </c>
      <c r="O15" s="38" t="s">
        <v>1494</v>
      </c>
      <c r="P15" s="31" t="s">
        <v>1390</v>
      </c>
      <c r="Q15" s="33">
        <v>14.0</v>
      </c>
      <c r="R15" s="31" t="s">
        <v>1495</v>
      </c>
      <c r="S15" s="31" t="s">
        <v>26</v>
      </c>
      <c r="T15" s="68" t="s">
        <v>2025</v>
      </c>
      <c r="U15" s="31" t="s">
        <v>26</v>
      </c>
      <c r="V15" s="31" t="s">
        <v>2045</v>
      </c>
    </row>
    <row r="16" ht="22.5" customHeight="1">
      <c r="A16" s="31" t="s">
        <v>1496</v>
      </c>
      <c r="B16" s="31" t="s">
        <v>1497</v>
      </c>
      <c r="C16" s="32" t="s">
        <v>1410</v>
      </c>
      <c r="D16" s="32" t="s">
        <v>46</v>
      </c>
      <c r="E16" s="72" t="s">
        <v>2046</v>
      </c>
      <c r="F16" s="38" t="s">
        <v>1498</v>
      </c>
      <c r="G16" s="31" t="s">
        <v>1499</v>
      </c>
      <c r="H16" s="31" t="s">
        <v>1500</v>
      </c>
      <c r="I16" s="31" t="s">
        <v>1501</v>
      </c>
      <c r="J16" s="32" t="s">
        <v>26</v>
      </c>
      <c r="K16" s="32" t="s">
        <v>26</v>
      </c>
      <c r="L16" s="32" t="s">
        <v>26</v>
      </c>
      <c r="M16" s="38" t="s">
        <v>2014</v>
      </c>
      <c r="N16" s="38" t="s">
        <v>1502</v>
      </c>
      <c r="O16" s="38" t="s">
        <v>1503</v>
      </c>
      <c r="P16" s="31" t="s">
        <v>1390</v>
      </c>
      <c r="Q16" s="33">
        <v>15.0</v>
      </c>
      <c r="R16" s="31" t="s">
        <v>1504</v>
      </c>
      <c r="S16" s="31" t="s">
        <v>26</v>
      </c>
      <c r="T16" s="68" t="s">
        <v>2025</v>
      </c>
      <c r="U16" s="31" t="s">
        <v>26</v>
      </c>
      <c r="V16" s="31" t="s">
        <v>2047</v>
      </c>
    </row>
    <row r="17" ht="22.5" customHeight="1">
      <c r="A17" s="31" t="s">
        <v>1505</v>
      </c>
      <c r="B17" s="31" t="s">
        <v>1506</v>
      </c>
      <c r="C17" s="32" t="s">
        <v>1507</v>
      </c>
      <c r="D17" s="32" t="s">
        <v>252</v>
      </c>
      <c r="E17" s="72" t="s">
        <v>2048</v>
      </c>
      <c r="F17" s="38" t="s">
        <v>1508</v>
      </c>
      <c r="G17" s="31" t="s">
        <v>1509</v>
      </c>
      <c r="H17" s="31" t="s">
        <v>1510</v>
      </c>
      <c r="I17" s="31" t="s">
        <v>1511</v>
      </c>
      <c r="J17" s="32" t="s">
        <v>26</v>
      </c>
      <c r="K17" s="32" t="s">
        <v>26</v>
      </c>
      <c r="L17" s="32" t="s">
        <v>26</v>
      </c>
      <c r="M17" s="38" t="s">
        <v>2014</v>
      </c>
      <c r="N17" s="38" t="s">
        <v>1512</v>
      </c>
      <c r="O17" s="38" t="s">
        <v>1513</v>
      </c>
      <c r="P17" s="31" t="s">
        <v>1390</v>
      </c>
      <c r="Q17" s="33">
        <v>16.0</v>
      </c>
      <c r="R17" s="31" t="s">
        <v>1514</v>
      </c>
      <c r="S17" s="31" t="s">
        <v>26</v>
      </c>
      <c r="T17" s="68" t="s">
        <v>2049</v>
      </c>
      <c r="U17" s="31" t="s">
        <v>26</v>
      </c>
      <c r="V17" s="31" t="s">
        <v>2050</v>
      </c>
    </row>
    <row r="18" ht="22.5" customHeight="1">
      <c r="A18" s="31" t="s">
        <v>1515</v>
      </c>
      <c r="B18" s="31" t="s">
        <v>1516</v>
      </c>
      <c r="C18" s="32" t="s">
        <v>1410</v>
      </c>
      <c r="D18" s="32" t="s">
        <v>46</v>
      </c>
      <c r="E18" s="72" t="s">
        <v>2044</v>
      </c>
      <c r="F18" s="38" t="s">
        <v>1489</v>
      </c>
      <c r="G18" s="31" t="s">
        <v>1517</v>
      </c>
      <c r="H18" s="31" t="s">
        <v>1518</v>
      </c>
      <c r="I18" s="31" t="s">
        <v>1519</v>
      </c>
      <c r="J18" s="32" t="s">
        <v>26</v>
      </c>
      <c r="K18" s="32" t="s">
        <v>26</v>
      </c>
      <c r="L18" s="32" t="s">
        <v>26</v>
      </c>
      <c r="M18" s="38" t="s">
        <v>2014</v>
      </c>
      <c r="N18" s="38" t="s">
        <v>1520</v>
      </c>
      <c r="O18" s="38" t="s">
        <v>1521</v>
      </c>
      <c r="P18" s="31" t="s">
        <v>1390</v>
      </c>
      <c r="Q18" s="33">
        <v>17.0</v>
      </c>
      <c r="R18" s="31" t="s">
        <v>1522</v>
      </c>
      <c r="S18" s="31" t="s">
        <v>26</v>
      </c>
      <c r="T18" s="68" t="s">
        <v>2025</v>
      </c>
      <c r="U18" s="31" t="s">
        <v>26</v>
      </c>
      <c r="V18" s="31" t="s">
        <v>2051</v>
      </c>
    </row>
    <row r="19" ht="22.5" customHeight="1">
      <c r="A19" s="31" t="s">
        <v>1523</v>
      </c>
      <c r="B19" s="31" t="s">
        <v>1524</v>
      </c>
      <c r="C19" s="32" t="s">
        <v>1525</v>
      </c>
      <c r="D19" s="32" t="s">
        <v>46</v>
      </c>
      <c r="E19" s="72" t="s">
        <v>2052</v>
      </c>
      <c r="F19" s="38" t="s">
        <v>1526</v>
      </c>
      <c r="G19" s="31" t="s">
        <v>1527</v>
      </c>
      <c r="H19" s="31" t="s">
        <v>1528</v>
      </c>
      <c r="I19" s="31" t="s">
        <v>1529</v>
      </c>
      <c r="J19" s="32" t="s">
        <v>26</v>
      </c>
      <c r="K19" s="32" t="s">
        <v>26</v>
      </c>
      <c r="L19" s="32" t="s">
        <v>26</v>
      </c>
      <c r="M19" s="38" t="s">
        <v>2014</v>
      </c>
      <c r="N19" s="38" t="s">
        <v>1530</v>
      </c>
      <c r="O19" s="38" t="s">
        <v>1531</v>
      </c>
      <c r="P19" s="31" t="s">
        <v>1390</v>
      </c>
      <c r="Q19" s="33">
        <v>18.0</v>
      </c>
      <c r="R19" s="31" t="s">
        <v>1532</v>
      </c>
      <c r="S19" s="31" t="s">
        <v>26</v>
      </c>
      <c r="T19" s="68" t="s">
        <v>2053</v>
      </c>
      <c r="U19" s="31" t="s">
        <v>26</v>
      </c>
      <c r="V19" s="31" t="s">
        <v>2054</v>
      </c>
    </row>
    <row r="20" ht="22.5" customHeight="1">
      <c r="A20" s="31" t="s">
        <v>1533</v>
      </c>
      <c r="B20" s="31" t="s">
        <v>1534</v>
      </c>
      <c r="C20" s="32" t="s">
        <v>1525</v>
      </c>
      <c r="D20" s="32" t="s">
        <v>46</v>
      </c>
      <c r="E20" s="72" t="s">
        <v>2055</v>
      </c>
      <c r="F20" s="38" t="s">
        <v>1535</v>
      </c>
      <c r="G20" s="31" t="s">
        <v>1536</v>
      </c>
      <c r="H20" s="31" t="s">
        <v>1537</v>
      </c>
      <c r="I20" s="31" t="s">
        <v>1538</v>
      </c>
      <c r="J20" s="32" t="s">
        <v>26</v>
      </c>
      <c r="K20" s="32" t="s">
        <v>26</v>
      </c>
      <c r="L20" s="32" t="s">
        <v>26</v>
      </c>
      <c r="M20" s="38" t="s">
        <v>2014</v>
      </c>
      <c r="N20" s="38" t="s">
        <v>1530</v>
      </c>
      <c r="O20" s="38" t="s">
        <v>1531</v>
      </c>
      <c r="P20" s="31" t="s">
        <v>1390</v>
      </c>
      <c r="Q20" s="33">
        <v>19.0</v>
      </c>
      <c r="R20" s="31" t="s">
        <v>1539</v>
      </c>
      <c r="S20" s="31" t="s">
        <v>26</v>
      </c>
      <c r="T20" s="68" t="s">
        <v>2053</v>
      </c>
      <c r="U20" s="31" t="s">
        <v>26</v>
      </c>
      <c r="V20" s="31" t="s">
        <v>2056</v>
      </c>
    </row>
    <row r="21" ht="22.5" customHeight="1">
      <c r="A21" s="31" t="s">
        <v>1540</v>
      </c>
      <c r="B21" s="31" t="s">
        <v>1541</v>
      </c>
      <c r="C21" s="32" t="s">
        <v>1410</v>
      </c>
      <c r="D21" s="32" t="s">
        <v>46</v>
      </c>
      <c r="E21" s="72" t="s">
        <v>2034</v>
      </c>
      <c r="F21" s="38" t="s">
        <v>1498</v>
      </c>
      <c r="G21" s="31" t="s">
        <v>1542</v>
      </c>
      <c r="H21" s="31" t="s">
        <v>1543</v>
      </c>
      <c r="I21" s="31" t="s">
        <v>1544</v>
      </c>
      <c r="J21" s="32" t="s">
        <v>26</v>
      </c>
      <c r="K21" s="32" t="s">
        <v>26</v>
      </c>
      <c r="L21" s="32" t="s">
        <v>26</v>
      </c>
      <c r="M21" s="38" t="s">
        <v>2014</v>
      </c>
      <c r="N21" s="38" t="s">
        <v>1545</v>
      </c>
      <c r="O21" s="38" t="s">
        <v>1546</v>
      </c>
      <c r="P21" s="31" t="s">
        <v>1390</v>
      </c>
      <c r="Q21" s="33">
        <v>20.0</v>
      </c>
      <c r="R21" s="31" t="s">
        <v>1547</v>
      </c>
      <c r="S21" s="31" t="s">
        <v>26</v>
      </c>
      <c r="T21" s="68" t="s">
        <v>2025</v>
      </c>
      <c r="U21" s="31" t="s">
        <v>26</v>
      </c>
      <c r="V21" s="31" t="s">
        <v>2057</v>
      </c>
    </row>
    <row r="22" ht="22.5" customHeight="1">
      <c r="A22" s="31" t="s">
        <v>1548</v>
      </c>
      <c r="B22" s="31" t="s">
        <v>1549</v>
      </c>
      <c r="C22" s="32" t="s">
        <v>1420</v>
      </c>
      <c r="D22" s="32" t="s">
        <v>75</v>
      </c>
      <c r="E22" s="72" t="s">
        <v>2058</v>
      </c>
      <c r="F22" s="38" t="s">
        <v>1550</v>
      </c>
      <c r="G22" s="31" t="s">
        <v>1551</v>
      </c>
      <c r="H22" s="31" t="s">
        <v>1552</v>
      </c>
      <c r="I22" s="31" t="s">
        <v>1553</v>
      </c>
      <c r="J22" s="32" t="s">
        <v>25</v>
      </c>
      <c r="K22" s="32" t="s">
        <v>26</v>
      </c>
      <c r="L22" s="32" t="s">
        <v>26</v>
      </c>
      <c r="M22" s="38" t="s">
        <v>2014</v>
      </c>
      <c r="N22" s="38" t="s">
        <v>1554</v>
      </c>
      <c r="O22" s="38" t="s">
        <v>1555</v>
      </c>
      <c r="P22" s="31" t="s">
        <v>1390</v>
      </c>
      <c r="Q22" s="33">
        <v>21.0</v>
      </c>
      <c r="R22" s="31" t="s">
        <v>1556</v>
      </c>
      <c r="S22" s="31" t="s">
        <v>26</v>
      </c>
      <c r="T22" s="68" t="s">
        <v>2028</v>
      </c>
      <c r="U22" s="31" t="s">
        <v>26</v>
      </c>
      <c r="V22" s="31" t="s">
        <v>2059</v>
      </c>
    </row>
    <row r="23" ht="22.5" customHeight="1">
      <c r="A23" s="31" t="s">
        <v>1557</v>
      </c>
      <c r="B23" s="31" t="s">
        <v>1558</v>
      </c>
      <c r="C23" s="32" t="s">
        <v>1383</v>
      </c>
      <c r="D23" s="32" t="s">
        <v>31</v>
      </c>
      <c r="E23" s="72" t="s">
        <v>2060</v>
      </c>
      <c r="F23" s="38" t="s">
        <v>1559</v>
      </c>
      <c r="G23" s="31" t="s">
        <v>1560</v>
      </c>
      <c r="H23" s="31" t="s">
        <v>1561</v>
      </c>
      <c r="I23" s="31" t="s">
        <v>1562</v>
      </c>
      <c r="J23" s="32" t="s">
        <v>26</v>
      </c>
      <c r="K23" s="32" t="s">
        <v>26</v>
      </c>
      <c r="L23" s="32" t="s">
        <v>26</v>
      </c>
      <c r="M23" s="38" t="s">
        <v>2014</v>
      </c>
      <c r="N23" s="38" t="s">
        <v>1563</v>
      </c>
      <c r="O23" s="38" t="s">
        <v>1564</v>
      </c>
      <c r="P23" s="31" t="s">
        <v>1390</v>
      </c>
      <c r="Q23" s="33">
        <v>22.0</v>
      </c>
      <c r="R23" s="31" t="s">
        <v>1565</v>
      </c>
      <c r="S23" s="31" t="s">
        <v>26</v>
      </c>
      <c r="T23" s="68" t="s">
        <v>2018</v>
      </c>
      <c r="U23" s="31" t="s">
        <v>26</v>
      </c>
      <c r="V23" s="31" t="s">
        <v>2061</v>
      </c>
    </row>
    <row r="24" ht="22.5" customHeight="1">
      <c r="A24" s="31" t="s">
        <v>1566</v>
      </c>
      <c r="B24" s="31" t="s">
        <v>1567</v>
      </c>
      <c r="C24" s="32" t="s">
        <v>1525</v>
      </c>
      <c r="D24" s="32" t="s">
        <v>31</v>
      </c>
      <c r="E24" s="72" t="s">
        <v>2062</v>
      </c>
      <c r="F24" s="38" t="s">
        <v>1559</v>
      </c>
      <c r="G24" s="31" t="s">
        <v>1568</v>
      </c>
      <c r="H24" s="31" t="s">
        <v>1569</v>
      </c>
      <c r="I24" s="31" t="s">
        <v>1570</v>
      </c>
      <c r="J24" s="32" t="s">
        <v>26</v>
      </c>
      <c r="K24" s="32" t="s">
        <v>26</v>
      </c>
      <c r="L24" s="32" t="s">
        <v>26</v>
      </c>
      <c r="M24" s="38" t="s">
        <v>2014</v>
      </c>
      <c r="N24" s="38" t="s">
        <v>1571</v>
      </c>
      <c r="O24" s="38" t="s">
        <v>1572</v>
      </c>
      <c r="P24" s="31" t="s">
        <v>1390</v>
      </c>
      <c r="Q24" s="33">
        <v>23.0</v>
      </c>
      <c r="R24" s="31" t="s">
        <v>1573</v>
      </c>
      <c r="S24" s="31" t="s">
        <v>26</v>
      </c>
      <c r="T24" s="68" t="s">
        <v>2053</v>
      </c>
      <c r="U24" s="31" t="s">
        <v>26</v>
      </c>
      <c r="V24" s="31" t="s">
        <v>2063</v>
      </c>
    </row>
    <row r="25" ht="22.5" customHeight="1">
      <c r="A25" s="31" t="s">
        <v>1574</v>
      </c>
      <c r="B25" s="31" t="s">
        <v>1575</v>
      </c>
      <c r="C25" s="32" t="s">
        <v>1585</v>
      </c>
      <c r="D25" s="32" t="s">
        <v>31</v>
      </c>
      <c r="E25" s="72" t="s">
        <v>2064</v>
      </c>
      <c r="F25" s="38" t="s">
        <v>1480</v>
      </c>
      <c r="G25" s="31" t="s">
        <v>1577</v>
      </c>
      <c r="H25" s="31" t="s">
        <v>1578</v>
      </c>
      <c r="I25" s="31" t="s">
        <v>1579</v>
      </c>
      <c r="J25" s="32" t="s">
        <v>26</v>
      </c>
      <c r="K25" s="32" t="s">
        <v>26</v>
      </c>
      <c r="L25" s="32" t="s">
        <v>26</v>
      </c>
      <c r="M25" s="38" t="s">
        <v>2014</v>
      </c>
      <c r="N25" s="38" t="s">
        <v>1580</v>
      </c>
      <c r="O25" s="38" t="s">
        <v>1581</v>
      </c>
      <c r="P25" s="31" t="s">
        <v>1390</v>
      </c>
      <c r="Q25" s="33">
        <v>24.0</v>
      </c>
      <c r="R25" s="31" t="s">
        <v>1582</v>
      </c>
      <c r="S25" s="31" t="s">
        <v>26</v>
      </c>
      <c r="T25" s="68" t="s">
        <v>2065</v>
      </c>
      <c r="U25" s="31" t="s">
        <v>26</v>
      </c>
      <c r="V25" s="31" t="s">
        <v>2066</v>
      </c>
    </row>
    <row r="26" ht="22.5" customHeight="1">
      <c r="A26" s="31" t="s">
        <v>1583</v>
      </c>
      <c r="B26" s="31" t="s">
        <v>1584</v>
      </c>
      <c r="C26" s="32" t="s">
        <v>1585</v>
      </c>
      <c r="D26" s="32" t="s">
        <v>31</v>
      </c>
      <c r="E26" s="72" t="s">
        <v>2067</v>
      </c>
      <c r="F26" s="38" t="s">
        <v>1550</v>
      </c>
      <c r="G26" s="31" t="s">
        <v>1586</v>
      </c>
      <c r="H26" s="31" t="s">
        <v>1587</v>
      </c>
      <c r="I26" s="31" t="s">
        <v>1588</v>
      </c>
      <c r="J26" s="32" t="s">
        <v>26</v>
      </c>
      <c r="K26" s="32" t="s">
        <v>26</v>
      </c>
      <c r="L26" s="32" t="s">
        <v>26</v>
      </c>
      <c r="M26" s="38" t="s">
        <v>2014</v>
      </c>
      <c r="N26" s="38" t="s">
        <v>1589</v>
      </c>
      <c r="O26" s="38" t="s">
        <v>1581</v>
      </c>
      <c r="P26" s="31" t="s">
        <v>1390</v>
      </c>
      <c r="Q26" s="33">
        <v>25.0</v>
      </c>
      <c r="R26" s="31" t="s">
        <v>1590</v>
      </c>
      <c r="S26" s="31" t="s">
        <v>26</v>
      </c>
      <c r="T26" s="68" t="s">
        <v>2065</v>
      </c>
      <c r="U26" s="31" t="s">
        <v>26</v>
      </c>
      <c r="V26" s="31" t="s">
        <v>2068</v>
      </c>
    </row>
    <row r="27" ht="22.5" customHeight="1">
      <c r="A27" s="31" t="s">
        <v>1370</v>
      </c>
      <c r="B27" s="31" t="s">
        <v>1591</v>
      </c>
      <c r="C27" s="32" t="s">
        <v>1372</v>
      </c>
      <c r="D27" s="32" t="s">
        <v>213</v>
      </c>
      <c r="E27" s="72" t="s">
        <v>2069</v>
      </c>
      <c r="F27" s="38" t="s">
        <v>1550</v>
      </c>
      <c r="G27" s="31" t="s">
        <v>1592</v>
      </c>
      <c r="H27" s="31" t="s">
        <v>1593</v>
      </c>
      <c r="I27" s="31" t="s">
        <v>1594</v>
      </c>
      <c r="J27" s="32" t="s">
        <v>25</v>
      </c>
      <c r="K27" s="32" t="s">
        <v>1595</v>
      </c>
      <c r="L27" s="32" t="s">
        <v>26</v>
      </c>
      <c r="M27" s="38" t="s">
        <v>2070</v>
      </c>
      <c r="N27" s="38" t="s">
        <v>1433</v>
      </c>
      <c r="O27" s="38" t="s">
        <v>1434</v>
      </c>
      <c r="P27" s="31" t="s">
        <v>1390</v>
      </c>
      <c r="Q27" s="33">
        <v>26.0</v>
      </c>
      <c r="R27" s="31" t="s">
        <v>1596</v>
      </c>
      <c r="S27" s="31" t="s">
        <v>26</v>
      </c>
      <c r="T27" s="68" t="s">
        <v>2015</v>
      </c>
      <c r="U27" s="31" t="s">
        <v>26</v>
      </c>
      <c r="V27" s="31" t="s">
        <v>2071</v>
      </c>
    </row>
    <row r="28" ht="22.5" customHeight="1">
      <c r="A28" s="31" t="s">
        <v>1597</v>
      </c>
      <c r="B28" s="31" t="s">
        <v>1598</v>
      </c>
      <c r="C28" s="32" t="s">
        <v>1599</v>
      </c>
      <c r="D28" s="32" t="s">
        <v>75</v>
      </c>
      <c r="E28" s="72" t="s">
        <v>2072</v>
      </c>
      <c r="F28" s="38" t="s">
        <v>1600</v>
      </c>
      <c r="G28" s="31" t="s">
        <v>1601</v>
      </c>
      <c r="H28" s="31" t="s">
        <v>1602</v>
      </c>
      <c r="I28" s="31" t="s">
        <v>1603</v>
      </c>
      <c r="J28" s="32" t="s">
        <v>26</v>
      </c>
      <c r="K28" s="32" t="s">
        <v>26</v>
      </c>
      <c r="L28" s="32" t="s">
        <v>26</v>
      </c>
      <c r="M28" s="38" t="s">
        <v>2014</v>
      </c>
      <c r="N28" s="38" t="s">
        <v>1604</v>
      </c>
      <c r="O28" s="38" t="s">
        <v>1605</v>
      </c>
      <c r="P28" s="31" t="s">
        <v>1390</v>
      </c>
      <c r="Q28" s="33">
        <v>27.0</v>
      </c>
      <c r="R28" s="31" t="s">
        <v>1606</v>
      </c>
      <c r="S28" s="31" t="s">
        <v>26</v>
      </c>
      <c r="T28" s="68" t="s">
        <v>2073</v>
      </c>
      <c r="U28" s="31" t="s">
        <v>26</v>
      </c>
      <c r="V28" s="31" t="s">
        <v>2074</v>
      </c>
    </row>
    <row r="29" ht="212.25" customHeight="1">
      <c r="A29" s="31" t="s">
        <v>1607</v>
      </c>
      <c r="B29" s="31" t="s">
        <v>1608</v>
      </c>
      <c r="C29" s="32" t="s">
        <v>1383</v>
      </c>
      <c r="D29" s="32" t="s">
        <v>213</v>
      </c>
      <c r="E29" s="72" t="s">
        <v>2075</v>
      </c>
      <c r="F29" s="38" t="s">
        <v>1121</v>
      </c>
      <c r="G29" s="31" t="s">
        <v>1609</v>
      </c>
      <c r="H29" s="31" t="s">
        <v>1610</v>
      </c>
      <c r="I29" s="31" t="s">
        <v>1611</v>
      </c>
      <c r="J29" s="32" t="s">
        <v>26</v>
      </c>
      <c r="K29" s="32" t="s">
        <v>26</v>
      </c>
      <c r="L29" s="32" t="s">
        <v>26</v>
      </c>
      <c r="M29" s="38" t="s">
        <v>2014</v>
      </c>
      <c r="N29" s="38" t="s">
        <v>1612</v>
      </c>
      <c r="O29" s="38" t="s">
        <v>1613</v>
      </c>
      <c r="P29" s="31" t="s">
        <v>1390</v>
      </c>
      <c r="Q29" s="33">
        <v>28.0</v>
      </c>
      <c r="R29" s="31" t="s">
        <v>1614</v>
      </c>
      <c r="S29" s="31" t="s">
        <v>26</v>
      </c>
      <c r="T29" s="68" t="s">
        <v>2073</v>
      </c>
      <c r="U29" s="31" t="s">
        <v>26</v>
      </c>
      <c r="V29" s="31" t="s">
        <v>2076</v>
      </c>
      <c r="W29" s="73"/>
      <c r="X29" s="73"/>
      <c r="Y29" s="73"/>
      <c r="Z29" s="73"/>
    </row>
    <row r="30" ht="22.5" customHeight="1">
      <c r="A30" s="31" t="s">
        <v>1615</v>
      </c>
      <c r="B30" s="31" t="s">
        <v>1616</v>
      </c>
      <c r="C30" s="32" t="s">
        <v>1599</v>
      </c>
      <c r="D30" s="32" t="s">
        <v>75</v>
      </c>
      <c r="E30" s="72" t="s">
        <v>2077</v>
      </c>
      <c r="F30" s="38" t="s">
        <v>1617</v>
      </c>
      <c r="G30" s="31" t="s">
        <v>1618</v>
      </c>
      <c r="H30" s="31" t="s">
        <v>1619</v>
      </c>
      <c r="I30" s="31" t="s">
        <v>1620</v>
      </c>
      <c r="J30" s="32" t="s">
        <v>26</v>
      </c>
      <c r="K30" s="32" t="s">
        <v>26</v>
      </c>
      <c r="L30" s="32" t="s">
        <v>26</v>
      </c>
      <c r="M30" s="38" t="s">
        <v>2014</v>
      </c>
      <c r="N30" s="38" t="s">
        <v>1621</v>
      </c>
      <c r="O30" s="38" t="s">
        <v>1622</v>
      </c>
      <c r="P30" s="31" t="s">
        <v>1390</v>
      </c>
      <c r="Q30" s="33">
        <v>29.0</v>
      </c>
      <c r="R30" s="31" t="s">
        <v>1623</v>
      </c>
      <c r="S30" s="31" t="s">
        <v>26</v>
      </c>
      <c r="T30" s="68" t="s">
        <v>2073</v>
      </c>
      <c r="U30" s="31" t="s">
        <v>26</v>
      </c>
      <c r="V30" s="31" t="s">
        <v>2078</v>
      </c>
    </row>
    <row r="31" ht="22.5" customHeight="1">
      <c r="A31" s="31" t="s">
        <v>1624</v>
      </c>
      <c r="B31" s="31" t="s">
        <v>1625</v>
      </c>
      <c r="C31" s="32" t="s">
        <v>1599</v>
      </c>
      <c r="D31" s="32" t="s">
        <v>75</v>
      </c>
      <c r="E31" s="72" t="s">
        <v>2077</v>
      </c>
      <c r="F31" s="38" t="s">
        <v>1550</v>
      </c>
      <c r="G31" s="31" t="s">
        <v>1626</v>
      </c>
      <c r="H31" s="31" t="s">
        <v>1627</v>
      </c>
      <c r="I31" s="31" t="s">
        <v>1628</v>
      </c>
      <c r="J31" s="32" t="s">
        <v>26</v>
      </c>
      <c r="K31" s="32" t="s">
        <v>26</v>
      </c>
      <c r="L31" s="32" t="s">
        <v>26</v>
      </c>
      <c r="M31" s="38" t="s">
        <v>2014</v>
      </c>
      <c r="N31" s="38" t="s">
        <v>1629</v>
      </c>
      <c r="O31" s="38" t="s">
        <v>1630</v>
      </c>
      <c r="P31" s="31" t="s">
        <v>1390</v>
      </c>
      <c r="Q31" s="33">
        <v>30.0</v>
      </c>
      <c r="R31" s="31" t="s">
        <v>1631</v>
      </c>
      <c r="S31" s="31" t="s">
        <v>26</v>
      </c>
      <c r="T31" s="68" t="s">
        <v>2073</v>
      </c>
      <c r="U31" s="31" t="s">
        <v>26</v>
      </c>
      <c r="V31" s="31" t="s">
        <v>2079</v>
      </c>
    </row>
    <row r="32" ht="22.5" customHeight="1">
      <c r="A32" s="31" t="s">
        <v>1632</v>
      </c>
      <c r="B32" s="31" t="s">
        <v>1633</v>
      </c>
      <c r="C32" s="32" t="s">
        <v>1599</v>
      </c>
      <c r="D32" s="32" t="s">
        <v>213</v>
      </c>
      <c r="E32" s="72" t="s">
        <v>2080</v>
      </c>
      <c r="F32" s="38" t="s">
        <v>1634</v>
      </c>
      <c r="G32" s="31" t="s">
        <v>1635</v>
      </c>
      <c r="H32" s="31" t="s">
        <v>1636</v>
      </c>
      <c r="I32" s="31" t="s">
        <v>1637</v>
      </c>
      <c r="J32" s="32" t="s">
        <v>26</v>
      </c>
      <c r="K32" s="32" t="s">
        <v>26</v>
      </c>
      <c r="L32" s="32" t="s">
        <v>26</v>
      </c>
      <c r="M32" s="38" t="s">
        <v>2014</v>
      </c>
      <c r="N32" s="38" t="s">
        <v>1638</v>
      </c>
      <c r="O32" s="38" t="s">
        <v>1639</v>
      </c>
      <c r="P32" s="31" t="s">
        <v>1390</v>
      </c>
      <c r="Q32" s="31">
        <v>31.0</v>
      </c>
      <c r="R32" s="31" t="s">
        <v>1640</v>
      </c>
      <c r="S32" s="31" t="s">
        <v>26</v>
      </c>
      <c r="T32" s="68" t="s">
        <v>2073</v>
      </c>
      <c r="U32" s="31" t="s">
        <v>26</v>
      </c>
      <c r="V32" s="31" t="s">
        <v>2081</v>
      </c>
    </row>
    <row r="33" ht="22.5" customHeight="1">
      <c r="A33" s="31" t="s">
        <v>1641</v>
      </c>
      <c r="B33" s="31" t="s">
        <v>1642</v>
      </c>
      <c r="C33" s="32" t="s">
        <v>1599</v>
      </c>
      <c r="D33" s="32" t="s">
        <v>75</v>
      </c>
      <c r="E33" s="72" t="s">
        <v>2072</v>
      </c>
      <c r="F33" s="38" t="s">
        <v>1643</v>
      </c>
      <c r="G33" s="31" t="s">
        <v>1644</v>
      </c>
      <c r="H33" s="31" t="s">
        <v>1645</v>
      </c>
      <c r="I33" s="31" t="s">
        <v>1646</v>
      </c>
      <c r="J33" s="32" t="s">
        <v>26</v>
      </c>
      <c r="K33" s="32" t="s">
        <v>26</v>
      </c>
      <c r="L33" s="32" t="s">
        <v>26</v>
      </c>
      <c r="M33" s="38" t="s">
        <v>2014</v>
      </c>
      <c r="N33" s="38" t="s">
        <v>1647</v>
      </c>
      <c r="O33" s="38" t="s">
        <v>1648</v>
      </c>
      <c r="P33" s="31" t="s">
        <v>1390</v>
      </c>
      <c r="Q33" s="33">
        <v>32.0</v>
      </c>
      <c r="R33" s="31" t="s">
        <v>1649</v>
      </c>
      <c r="S33" s="31" t="s">
        <v>26</v>
      </c>
      <c r="T33" s="68" t="s">
        <v>2073</v>
      </c>
      <c r="U33" s="31" t="s">
        <v>26</v>
      </c>
      <c r="V33" s="31" t="s">
        <v>2082</v>
      </c>
    </row>
    <row r="34" ht="22.5" customHeight="1">
      <c r="A34" s="31" t="s">
        <v>1418</v>
      </c>
      <c r="B34" s="31" t="s">
        <v>1650</v>
      </c>
      <c r="C34" s="32" t="s">
        <v>1420</v>
      </c>
      <c r="D34" s="32" t="s">
        <v>213</v>
      </c>
      <c r="E34" s="72" t="s">
        <v>2083</v>
      </c>
      <c r="F34" s="38" t="s">
        <v>1480</v>
      </c>
      <c r="G34" s="31" t="s">
        <v>1651</v>
      </c>
      <c r="H34" s="31" t="s">
        <v>1652</v>
      </c>
      <c r="I34" s="31" t="s">
        <v>1653</v>
      </c>
      <c r="J34" s="32" t="s">
        <v>26</v>
      </c>
      <c r="K34" s="32" t="s">
        <v>26</v>
      </c>
      <c r="L34" s="32" t="s">
        <v>26</v>
      </c>
      <c r="M34" s="38" t="s">
        <v>2014</v>
      </c>
      <c r="N34" s="38" t="s">
        <v>1654</v>
      </c>
      <c r="O34" s="38" t="s">
        <v>1655</v>
      </c>
      <c r="P34" s="31" t="s">
        <v>1390</v>
      </c>
      <c r="Q34" s="33">
        <v>33.0</v>
      </c>
      <c r="R34" s="31" t="s">
        <v>1656</v>
      </c>
      <c r="S34" s="31" t="s">
        <v>26</v>
      </c>
      <c r="T34" s="68" t="s">
        <v>2028</v>
      </c>
      <c r="U34" s="31" t="s">
        <v>26</v>
      </c>
      <c r="V34" s="31" t="s">
        <v>2084</v>
      </c>
    </row>
    <row r="35" ht="22.5" customHeight="1">
      <c r="A35" s="31" t="s">
        <v>1657</v>
      </c>
      <c r="B35" s="31" t="s">
        <v>1658</v>
      </c>
      <c r="C35" s="32" t="s">
        <v>1420</v>
      </c>
      <c r="D35" s="32" t="s">
        <v>75</v>
      </c>
      <c r="E35" s="72" t="s">
        <v>2013</v>
      </c>
      <c r="F35" s="38" t="s">
        <v>1643</v>
      </c>
      <c r="G35" s="31" t="s">
        <v>1659</v>
      </c>
      <c r="H35" s="31" t="s">
        <v>1660</v>
      </c>
      <c r="I35" s="31" t="s">
        <v>1661</v>
      </c>
      <c r="J35" s="32" t="s">
        <v>26</v>
      </c>
      <c r="K35" s="32" t="s">
        <v>26</v>
      </c>
      <c r="L35" s="32" t="s">
        <v>26</v>
      </c>
      <c r="M35" s="38" t="s">
        <v>2014</v>
      </c>
      <c r="N35" s="38" t="s">
        <v>1662</v>
      </c>
      <c r="O35" s="38" t="s">
        <v>1663</v>
      </c>
      <c r="P35" s="31" t="s">
        <v>1390</v>
      </c>
      <c r="Q35" s="33">
        <v>34.0</v>
      </c>
      <c r="R35" s="31" t="s">
        <v>1664</v>
      </c>
      <c r="S35" s="31" t="s">
        <v>26</v>
      </c>
      <c r="T35" s="68" t="s">
        <v>2028</v>
      </c>
      <c r="U35" s="31" t="s">
        <v>26</v>
      </c>
      <c r="V35" s="31" t="s">
        <v>2085</v>
      </c>
    </row>
    <row r="36" ht="22.5" customHeight="1">
      <c r="A36" s="8" t="s">
        <v>1665</v>
      </c>
      <c r="B36" s="8" t="s">
        <v>1666</v>
      </c>
      <c r="C36" s="39" t="s">
        <v>1420</v>
      </c>
      <c r="D36" s="39" t="s">
        <v>75</v>
      </c>
      <c r="E36" s="74" t="s">
        <v>2086</v>
      </c>
      <c r="F36" s="40" t="s">
        <v>1480</v>
      </c>
      <c r="G36" s="8" t="s">
        <v>1667</v>
      </c>
      <c r="H36" s="8" t="s">
        <v>1668</v>
      </c>
      <c r="I36" s="8" t="s">
        <v>1669</v>
      </c>
      <c r="J36" s="39" t="s">
        <v>26</v>
      </c>
      <c r="K36" s="39" t="s">
        <v>26</v>
      </c>
      <c r="L36" s="39" t="s">
        <v>1387</v>
      </c>
      <c r="M36" s="40" t="s">
        <v>2014</v>
      </c>
      <c r="N36" s="40" t="s">
        <v>1670</v>
      </c>
      <c r="O36" s="40" t="s">
        <v>1671</v>
      </c>
      <c r="P36" s="8" t="s">
        <v>1390</v>
      </c>
      <c r="Q36" s="41">
        <v>35.0</v>
      </c>
      <c r="R36" s="8" t="s">
        <v>1672</v>
      </c>
      <c r="S36" s="8" t="s">
        <v>26</v>
      </c>
      <c r="T36" s="75" t="s">
        <v>2028</v>
      </c>
      <c r="U36" s="8" t="s">
        <v>26</v>
      </c>
      <c r="V36" s="8" t="s">
        <v>2087</v>
      </c>
    </row>
    <row r="37" ht="22.5" customHeight="1">
      <c r="A37" s="31" t="s">
        <v>1673</v>
      </c>
      <c r="B37" s="31" t="s">
        <v>1674</v>
      </c>
      <c r="C37" s="32" t="s">
        <v>1585</v>
      </c>
      <c r="D37" s="32" t="s">
        <v>75</v>
      </c>
      <c r="E37" s="72" t="s">
        <v>2083</v>
      </c>
      <c r="F37" s="38" t="s">
        <v>1550</v>
      </c>
      <c r="G37" s="31" t="s">
        <v>1675</v>
      </c>
      <c r="H37" s="31" t="s">
        <v>1676</v>
      </c>
      <c r="I37" s="31" t="s">
        <v>1677</v>
      </c>
      <c r="J37" s="32" t="s">
        <v>26</v>
      </c>
      <c r="K37" s="32" t="s">
        <v>1678</v>
      </c>
      <c r="L37" s="32" t="s">
        <v>26</v>
      </c>
      <c r="M37" s="38" t="s">
        <v>2014</v>
      </c>
      <c r="N37" s="38" t="s">
        <v>1679</v>
      </c>
      <c r="O37" s="38" t="s">
        <v>1680</v>
      </c>
      <c r="P37" s="31" t="s">
        <v>1390</v>
      </c>
      <c r="Q37" s="33">
        <v>36.0</v>
      </c>
      <c r="R37" s="31" t="s">
        <v>1681</v>
      </c>
      <c r="S37" s="31" t="s">
        <v>26</v>
      </c>
      <c r="T37" s="68" t="s">
        <v>2065</v>
      </c>
      <c r="U37" s="31" t="s">
        <v>26</v>
      </c>
      <c r="V37" s="31" t="s">
        <v>2088</v>
      </c>
    </row>
    <row r="38" ht="22.5" customHeight="1">
      <c r="A38" s="31" t="s">
        <v>1682</v>
      </c>
      <c r="B38" s="31" t="s">
        <v>1683</v>
      </c>
      <c r="C38" s="32" t="s">
        <v>1383</v>
      </c>
      <c r="D38" s="32" t="s">
        <v>568</v>
      </c>
      <c r="E38" s="72" t="s">
        <v>2017</v>
      </c>
      <c r="F38" s="38" t="s">
        <v>1559</v>
      </c>
      <c r="G38" s="31" t="s">
        <v>1684</v>
      </c>
      <c r="H38" s="31" t="s">
        <v>1685</v>
      </c>
      <c r="I38" s="31" t="s">
        <v>1686</v>
      </c>
      <c r="J38" s="32" t="s">
        <v>26</v>
      </c>
      <c r="K38" s="32" t="s">
        <v>26</v>
      </c>
      <c r="L38" s="32" t="s">
        <v>1387</v>
      </c>
      <c r="M38" s="38" t="s">
        <v>2014</v>
      </c>
      <c r="N38" s="38" t="s">
        <v>1563</v>
      </c>
      <c r="O38" s="38" t="s">
        <v>1564</v>
      </c>
      <c r="P38" s="31" t="s">
        <v>1390</v>
      </c>
      <c r="Q38" s="33">
        <v>37.0</v>
      </c>
      <c r="R38" s="31" t="s">
        <v>1687</v>
      </c>
      <c r="S38" s="31" t="s">
        <v>26</v>
      </c>
      <c r="T38" s="68" t="s">
        <v>2018</v>
      </c>
      <c r="U38" s="31" t="s">
        <v>26</v>
      </c>
      <c r="V38" s="31" t="s">
        <v>2089</v>
      </c>
    </row>
    <row r="39" ht="22.5" customHeight="1">
      <c r="A39" s="31" t="s">
        <v>1688</v>
      </c>
      <c r="B39" s="31" t="s">
        <v>1689</v>
      </c>
      <c r="C39" s="32" t="s">
        <v>1383</v>
      </c>
      <c r="D39" s="32" t="s">
        <v>75</v>
      </c>
      <c r="E39" s="72" t="s">
        <v>2090</v>
      </c>
      <c r="F39" s="38" t="s">
        <v>1550</v>
      </c>
      <c r="G39" s="31" t="s">
        <v>1690</v>
      </c>
      <c r="H39" s="31" t="s">
        <v>1691</v>
      </c>
      <c r="I39" s="31" t="s">
        <v>1692</v>
      </c>
      <c r="J39" s="32" t="s">
        <v>26</v>
      </c>
      <c r="K39" s="32" t="s">
        <v>26</v>
      </c>
      <c r="L39" s="32" t="s">
        <v>26</v>
      </c>
      <c r="M39" s="38" t="s">
        <v>2014</v>
      </c>
      <c r="N39" s="38" t="s">
        <v>1693</v>
      </c>
      <c r="O39" s="38" t="s">
        <v>1694</v>
      </c>
      <c r="P39" s="31" t="s">
        <v>1390</v>
      </c>
      <c r="Q39" s="33">
        <v>38.0</v>
      </c>
      <c r="R39" s="31" t="s">
        <v>1695</v>
      </c>
      <c r="S39" s="31" t="s">
        <v>26</v>
      </c>
      <c r="T39" s="68" t="s">
        <v>2018</v>
      </c>
      <c r="U39" s="31" t="s">
        <v>26</v>
      </c>
      <c r="V39" s="31" t="s">
        <v>2091</v>
      </c>
    </row>
    <row r="40" ht="22.5" customHeight="1">
      <c r="A40" s="31" t="s">
        <v>1370</v>
      </c>
      <c r="B40" s="31" t="s">
        <v>1696</v>
      </c>
      <c r="C40" s="32" t="s">
        <v>1372</v>
      </c>
      <c r="D40" s="32" t="s">
        <v>568</v>
      </c>
      <c r="E40" s="72" t="s">
        <v>2092</v>
      </c>
      <c r="F40" s="38" t="s">
        <v>1559</v>
      </c>
      <c r="G40" s="31" t="s">
        <v>1697</v>
      </c>
      <c r="H40" s="31" t="s">
        <v>1698</v>
      </c>
      <c r="I40" s="31" t="s">
        <v>1699</v>
      </c>
      <c r="J40" s="32" t="s">
        <v>25</v>
      </c>
      <c r="K40" s="32" t="s">
        <v>1595</v>
      </c>
      <c r="L40" s="32" t="s">
        <v>26</v>
      </c>
      <c r="M40" s="38" t="s">
        <v>2093</v>
      </c>
      <c r="N40" s="38" t="s">
        <v>1433</v>
      </c>
      <c r="O40" s="38" t="s">
        <v>1434</v>
      </c>
      <c r="P40" s="31" t="s">
        <v>1390</v>
      </c>
      <c r="Q40" s="33">
        <v>39.0</v>
      </c>
      <c r="R40" s="31" t="s">
        <v>1700</v>
      </c>
      <c r="S40" s="31" t="s">
        <v>26</v>
      </c>
      <c r="T40" s="68" t="s">
        <v>2015</v>
      </c>
      <c r="U40" s="31" t="s">
        <v>26</v>
      </c>
      <c r="V40" s="31" t="s">
        <v>2094</v>
      </c>
    </row>
    <row r="41" ht="22.5" customHeight="1">
      <c r="A41" s="31" t="s">
        <v>1701</v>
      </c>
      <c r="B41" s="31" t="s">
        <v>1702</v>
      </c>
      <c r="C41" s="32" t="s">
        <v>1420</v>
      </c>
      <c r="D41" s="32" t="s">
        <v>568</v>
      </c>
      <c r="E41" s="72" t="s">
        <v>2092</v>
      </c>
      <c r="F41" s="38" t="s">
        <v>1480</v>
      </c>
      <c r="G41" s="31" t="s">
        <v>1703</v>
      </c>
      <c r="H41" s="31" t="s">
        <v>1704</v>
      </c>
      <c r="I41" s="31" t="s">
        <v>1705</v>
      </c>
      <c r="J41" s="32" t="s">
        <v>25</v>
      </c>
      <c r="K41" s="32" t="s">
        <v>26</v>
      </c>
      <c r="L41" s="32" t="s">
        <v>26</v>
      </c>
      <c r="M41" s="38" t="s">
        <v>2014</v>
      </c>
      <c r="N41" s="38" t="s">
        <v>1706</v>
      </c>
      <c r="O41" s="38" t="s">
        <v>1707</v>
      </c>
      <c r="P41" s="31" t="s">
        <v>1390</v>
      </c>
      <c r="Q41" s="33">
        <v>40.0</v>
      </c>
      <c r="R41" s="31" t="s">
        <v>1708</v>
      </c>
      <c r="S41" s="31" t="s">
        <v>26</v>
      </c>
      <c r="T41" s="68" t="s">
        <v>2028</v>
      </c>
      <c r="U41" s="31" t="s">
        <v>26</v>
      </c>
      <c r="V41" s="31" t="s">
        <v>2095</v>
      </c>
    </row>
    <row r="42" ht="22.5" customHeight="1">
      <c r="A42" s="31" t="s">
        <v>1392</v>
      </c>
      <c r="B42" s="31" t="s">
        <v>1709</v>
      </c>
      <c r="C42" s="32" t="s">
        <v>1372</v>
      </c>
      <c r="D42" s="32" t="s">
        <v>568</v>
      </c>
      <c r="E42" s="72" t="s">
        <v>2096</v>
      </c>
      <c r="F42" s="38" t="s">
        <v>1559</v>
      </c>
      <c r="G42" s="31" t="s">
        <v>1710</v>
      </c>
      <c r="H42" s="31" t="s">
        <v>1711</v>
      </c>
      <c r="I42" s="31" t="s">
        <v>1712</v>
      </c>
      <c r="J42" s="32" t="s">
        <v>25</v>
      </c>
      <c r="K42" s="32" t="s">
        <v>26</v>
      </c>
      <c r="L42" s="32" t="s">
        <v>26</v>
      </c>
      <c r="M42" s="38" t="s">
        <v>2014</v>
      </c>
      <c r="N42" s="38" t="s">
        <v>1713</v>
      </c>
      <c r="O42" s="38" t="s">
        <v>1378</v>
      </c>
      <c r="P42" s="31" t="s">
        <v>1390</v>
      </c>
      <c r="Q42" s="33">
        <v>41.0</v>
      </c>
      <c r="R42" s="31" t="s">
        <v>1714</v>
      </c>
      <c r="S42" s="31" t="s">
        <v>26</v>
      </c>
      <c r="T42" s="68" t="s">
        <v>2015</v>
      </c>
      <c r="U42" s="31" t="s">
        <v>26</v>
      </c>
      <c r="V42" s="31" t="s">
        <v>2097</v>
      </c>
    </row>
    <row r="43" ht="22.5" customHeight="1">
      <c r="A43" s="31" t="s">
        <v>1715</v>
      </c>
      <c r="B43" s="31" t="s">
        <v>1716</v>
      </c>
      <c r="C43" s="32" t="s">
        <v>1383</v>
      </c>
      <c r="D43" s="32" t="s">
        <v>568</v>
      </c>
      <c r="E43" s="72" t="s">
        <v>2017</v>
      </c>
      <c r="F43" s="38" t="s">
        <v>1617</v>
      </c>
      <c r="G43" s="31" t="s">
        <v>1717</v>
      </c>
      <c r="H43" s="31" t="s">
        <v>1718</v>
      </c>
      <c r="I43" s="31" t="s">
        <v>1719</v>
      </c>
      <c r="J43" s="32" t="s">
        <v>25</v>
      </c>
      <c r="K43" s="32" t="s">
        <v>26</v>
      </c>
      <c r="L43" s="32" t="s">
        <v>26</v>
      </c>
      <c r="M43" s="38" t="s">
        <v>2014</v>
      </c>
      <c r="N43" s="38" t="s">
        <v>1475</v>
      </c>
      <c r="O43" s="38" t="s">
        <v>1476</v>
      </c>
      <c r="P43" s="31" t="s">
        <v>1390</v>
      </c>
      <c r="Q43" s="33">
        <v>42.0</v>
      </c>
      <c r="R43" s="31" t="s">
        <v>1720</v>
      </c>
      <c r="S43" s="31" t="s">
        <v>26</v>
      </c>
      <c r="T43" s="68" t="s">
        <v>2018</v>
      </c>
      <c r="U43" s="31" t="s">
        <v>26</v>
      </c>
      <c r="V43" s="31" t="s">
        <v>2098</v>
      </c>
    </row>
    <row r="44" ht="22.5" customHeight="1">
      <c r="A44" s="31" t="s">
        <v>1721</v>
      </c>
      <c r="B44" s="31" t="s">
        <v>1722</v>
      </c>
      <c r="C44" s="32" t="s">
        <v>1723</v>
      </c>
      <c r="D44" s="32" t="s">
        <v>252</v>
      </c>
      <c r="E44" s="72" t="s">
        <v>2099</v>
      </c>
      <c r="F44" s="38" t="s">
        <v>1724</v>
      </c>
      <c r="G44" s="31" t="s">
        <v>1725</v>
      </c>
      <c r="H44" s="31" t="s">
        <v>1726</v>
      </c>
      <c r="I44" s="31" t="s">
        <v>1727</v>
      </c>
      <c r="J44" s="32" t="s">
        <v>25</v>
      </c>
      <c r="K44" s="32" t="s">
        <v>26</v>
      </c>
      <c r="L44" s="32" t="s">
        <v>1387</v>
      </c>
      <c r="M44" s="38" t="s">
        <v>2014</v>
      </c>
      <c r="N44" s="38" t="s">
        <v>1728</v>
      </c>
      <c r="O44" s="38" t="s">
        <v>1729</v>
      </c>
      <c r="P44" s="31" t="s">
        <v>1390</v>
      </c>
      <c r="Q44" s="33">
        <v>43.0</v>
      </c>
      <c r="R44" s="31" t="s">
        <v>1730</v>
      </c>
      <c r="S44" s="31" t="s">
        <v>26</v>
      </c>
      <c r="T44" s="31" t="s">
        <v>26</v>
      </c>
      <c r="U44" s="31" t="s">
        <v>26</v>
      </c>
      <c r="V44" s="31" t="s">
        <v>2100</v>
      </c>
    </row>
    <row r="45" ht="22.5" customHeight="1">
      <c r="A45" s="31" t="s">
        <v>1731</v>
      </c>
      <c r="B45" s="31" t="s">
        <v>1732</v>
      </c>
      <c r="C45" s="32" t="s">
        <v>1733</v>
      </c>
      <c r="D45" s="32" t="s">
        <v>275</v>
      </c>
      <c r="E45" s="72" t="s">
        <v>2101</v>
      </c>
      <c r="F45" s="38" t="s">
        <v>1734</v>
      </c>
      <c r="G45" s="31" t="s">
        <v>1735</v>
      </c>
      <c r="H45" s="31" t="s">
        <v>1736</v>
      </c>
      <c r="I45" s="31" t="s">
        <v>1737</v>
      </c>
      <c r="J45" s="32" t="s">
        <v>25</v>
      </c>
      <c r="K45" s="32" t="s">
        <v>26</v>
      </c>
      <c r="L45" s="32" t="s">
        <v>26</v>
      </c>
      <c r="M45" s="38" t="s">
        <v>2014</v>
      </c>
      <c r="N45" s="38" t="s">
        <v>1738</v>
      </c>
      <c r="O45" s="38" t="s">
        <v>1739</v>
      </c>
      <c r="P45" s="31" t="s">
        <v>1390</v>
      </c>
      <c r="Q45" s="33">
        <v>44.0</v>
      </c>
      <c r="R45" s="31" t="s">
        <v>1740</v>
      </c>
      <c r="S45" s="31" t="s">
        <v>26</v>
      </c>
      <c r="T45" s="68" t="s">
        <v>2102</v>
      </c>
      <c r="U45" s="31" t="s">
        <v>26</v>
      </c>
      <c r="V45" s="31" t="s">
        <v>2103</v>
      </c>
    </row>
    <row r="46" ht="22.5" customHeight="1">
      <c r="A46" s="31" t="s">
        <v>1741</v>
      </c>
      <c r="B46" s="31" t="s">
        <v>1742</v>
      </c>
      <c r="C46" s="32" t="s">
        <v>1733</v>
      </c>
      <c r="D46" s="32" t="s">
        <v>275</v>
      </c>
      <c r="E46" s="72" t="s">
        <v>2104</v>
      </c>
      <c r="F46" s="38" t="s">
        <v>1743</v>
      </c>
      <c r="G46" s="31" t="s">
        <v>1744</v>
      </c>
      <c r="H46" s="31" t="s">
        <v>1745</v>
      </c>
      <c r="I46" s="31" t="s">
        <v>1746</v>
      </c>
      <c r="J46" s="32" t="s">
        <v>25</v>
      </c>
      <c r="K46" s="32" t="s">
        <v>1747</v>
      </c>
      <c r="L46" s="32" t="s">
        <v>26</v>
      </c>
      <c r="M46" s="38" t="s">
        <v>2014</v>
      </c>
      <c r="N46" s="38" t="s">
        <v>1748</v>
      </c>
      <c r="O46" s="38" t="s">
        <v>1749</v>
      </c>
      <c r="P46" s="31" t="s">
        <v>1390</v>
      </c>
      <c r="Q46" s="31">
        <v>45.0</v>
      </c>
      <c r="R46" s="31" t="s">
        <v>1750</v>
      </c>
      <c r="S46" s="31" t="s">
        <v>26</v>
      </c>
      <c r="T46" s="68" t="s">
        <v>2102</v>
      </c>
      <c r="U46" s="31" t="s">
        <v>26</v>
      </c>
      <c r="V46" s="31" t="s">
        <v>2105</v>
      </c>
    </row>
    <row r="47" ht="22.5" customHeight="1">
      <c r="A47" s="31" t="s">
        <v>1751</v>
      </c>
      <c r="B47" s="31" t="s">
        <v>1752</v>
      </c>
      <c r="C47" s="32" t="s">
        <v>1733</v>
      </c>
      <c r="D47" s="32" t="s">
        <v>275</v>
      </c>
      <c r="E47" s="72" t="s">
        <v>2106</v>
      </c>
      <c r="F47" s="38" t="s">
        <v>1734</v>
      </c>
      <c r="G47" s="31" t="s">
        <v>1753</v>
      </c>
      <c r="H47" s="31" t="s">
        <v>1754</v>
      </c>
      <c r="I47" s="31" t="s">
        <v>1755</v>
      </c>
      <c r="J47" s="32" t="s">
        <v>25</v>
      </c>
      <c r="K47" s="32" t="s">
        <v>26</v>
      </c>
      <c r="L47" s="32" t="s">
        <v>26</v>
      </c>
      <c r="M47" s="38" t="s">
        <v>2014</v>
      </c>
      <c r="N47" s="38" t="s">
        <v>1756</v>
      </c>
      <c r="O47" s="38" t="s">
        <v>1757</v>
      </c>
      <c r="P47" s="31" t="s">
        <v>1390</v>
      </c>
      <c r="Q47" s="31">
        <v>46.0</v>
      </c>
      <c r="R47" s="31" t="s">
        <v>1758</v>
      </c>
      <c r="S47" s="31" t="s">
        <v>26</v>
      </c>
      <c r="T47" s="68" t="s">
        <v>2102</v>
      </c>
      <c r="U47" s="31" t="s">
        <v>26</v>
      </c>
      <c r="V47" s="31" t="s">
        <v>2107</v>
      </c>
    </row>
    <row r="48" ht="22.5" customHeight="1">
      <c r="A48" s="31" t="s">
        <v>1759</v>
      </c>
      <c r="B48" s="31" t="s">
        <v>1760</v>
      </c>
      <c r="C48" s="32" t="s">
        <v>1733</v>
      </c>
      <c r="D48" s="32" t="s">
        <v>275</v>
      </c>
      <c r="E48" s="72" t="s">
        <v>2108</v>
      </c>
      <c r="F48" s="38" t="s">
        <v>1480</v>
      </c>
      <c r="G48" s="31" t="s">
        <v>1761</v>
      </c>
      <c r="H48" s="31" t="s">
        <v>1762</v>
      </c>
      <c r="I48" s="31" t="s">
        <v>1763</v>
      </c>
      <c r="J48" s="32" t="s">
        <v>25</v>
      </c>
      <c r="K48" s="32" t="s">
        <v>26</v>
      </c>
      <c r="L48" s="32" t="s">
        <v>26</v>
      </c>
      <c r="M48" s="38" t="s">
        <v>2014</v>
      </c>
      <c r="N48" s="38" t="s">
        <v>1764</v>
      </c>
      <c r="O48" s="38" t="s">
        <v>1765</v>
      </c>
      <c r="P48" s="31" t="s">
        <v>1390</v>
      </c>
      <c r="Q48" s="33">
        <v>47.0</v>
      </c>
      <c r="R48" s="31" t="s">
        <v>1766</v>
      </c>
      <c r="S48" s="31" t="s">
        <v>26</v>
      </c>
      <c r="T48" s="68" t="s">
        <v>2102</v>
      </c>
      <c r="U48" s="31" t="s">
        <v>26</v>
      </c>
      <c r="V48" s="31" t="s">
        <v>2109</v>
      </c>
    </row>
    <row r="49" ht="22.5" customHeight="1">
      <c r="A49" s="31" t="s">
        <v>1523</v>
      </c>
      <c r="B49" s="31" t="s">
        <v>1767</v>
      </c>
      <c r="C49" s="32" t="s">
        <v>1525</v>
      </c>
      <c r="D49" s="32" t="s">
        <v>252</v>
      </c>
      <c r="E49" s="72" t="s">
        <v>2110</v>
      </c>
      <c r="F49" s="38" t="s">
        <v>1121</v>
      </c>
      <c r="G49" s="31" t="s">
        <v>1768</v>
      </c>
      <c r="H49" s="31" t="s">
        <v>1769</v>
      </c>
      <c r="I49" s="31" t="s">
        <v>1770</v>
      </c>
      <c r="J49" s="32" t="s">
        <v>1771</v>
      </c>
      <c r="K49" s="32" t="s">
        <v>1772</v>
      </c>
      <c r="L49" s="32" t="s">
        <v>26</v>
      </c>
      <c r="M49" s="38" t="s">
        <v>2014</v>
      </c>
      <c r="N49" s="38" t="s">
        <v>1773</v>
      </c>
      <c r="O49" s="38" t="s">
        <v>1774</v>
      </c>
      <c r="P49" s="31" t="s">
        <v>1390</v>
      </c>
      <c r="Q49" s="33">
        <v>48.0</v>
      </c>
      <c r="R49" s="31" t="s">
        <v>1775</v>
      </c>
      <c r="S49" s="31" t="s">
        <v>26</v>
      </c>
      <c r="T49" s="68" t="s">
        <v>2053</v>
      </c>
      <c r="U49" s="31" t="s">
        <v>26</v>
      </c>
      <c r="V49" s="31" t="s">
        <v>2111</v>
      </c>
    </row>
    <row r="50" ht="22.5" customHeight="1">
      <c r="A50" s="31" t="s">
        <v>1776</v>
      </c>
      <c r="B50" s="31" t="s">
        <v>1777</v>
      </c>
      <c r="C50" s="32" t="s">
        <v>1733</v>
      </c>
      <c r="D50" s="32" t="s">
        <v>275</v>
      </c>
      <c r="E50" s="72" t="s">
        <v>2112</v>
      </c>
      <c r="F50" s="38" t="s">
        <v>1617</v>
      </c>
      <c r="G50" s="31" t="s">
        <v>1778</v>
      </c>
      <c r="H50" s="31" t="s">
        <v>1779</v>
      </c>
      <c r="I50" s="31" t="s">
        <v>1780</v>
      </c>
      <c r="J50" s="32" t="s">
        <v>1781</v>
      </c>
      <c r="K50" s="32" t="s">
        <v>26</v>
      </c>
      <c r="L50" s="32" t="s">
        <v>26</v>
      </c>
      <c r="M50" s="38" t="s">
        <v>2014</v>
      </c>
      <c r="N50" s="38" t="s">
        <v>1782</v>
      </c>
      <c r="O50" s="38" t="s">
        <v>1783</v>
      </c>
      <c r="P50" s="31" t="s">
        <v>1390</v>
      </c>
      <c r="Q50" s="33">
        <v>49.0</v>
      </c>
      <c r="R50" s="31" t="s">
        <v>1784</v>
      </c>
      <c r="S50" s="31" t="s">
        <v>26</v>
      </c>
      <c r="T50" s="68" t="s">
        <v>2102</v>
      </c>
      <c r="U50" s="31" t="s">
        <v>26</v>
      </c>
      <c r="V50" s="31" t="s">
        <v>2113</v>
      </c>
    </row>
    <row r="51" ht="22.5" customHeight="1">
      <c r="A51" s="31" t="s">
        <v>1785</v>
      </c>
      <c r="B51" s="31" t="s">
        <v>1786</v>
      </c>
      <c r="C51" s="32" t="s">
        <v>1733</v>
      </c>
      <c r="D51" s="32" t="s">
        <v>275</v>
      </c>
      <c r="E51" s="72" t="s">
        <v>2114</v>
      </c>
      <c r="F51" s="38" t="s">
        <v>1617</v>
      </c>
      <c r="G51" s="31" t="s">
        <v>1787</v>
      </c>
      <c r="H51" s="31" t="s">
        <v>1788</v>
      </c>
      <c r="I51" s="31" t="s">
        <v>1789</v>
      </c>
      <c r="J51" s="32" t="s">
        <v>1790</v>
      </c>
      <c r="K51" s="32" t="s">
        <v>26</v>
      </c>
      <c r="L51" s="32" t="s">
        <v>26</v>
      </c>
      <c r="M51" s="38" t="s">
        <v>2014</v>
      </c>
      <c r="N51" s="38" t="s">
        <v>1791</v>
      </c>
      <c r="O51" s="38" t="s">
        <v>1792</v>
      </c>
      <c r="P51" s="31" t="s">
        <v>1390</v>
      </c>
      <c r="Q51" s="33">
        <v>50.0</v>
      </c>
      <c r="R51" s="31" t="s">
        <v>1793</v>
      </c>
      <c r="S51" s="31" t="s">
        <v>26</v>
      </c>
      <c r="T51" s="68" t="s">
        <v>2102</v>
      </c>
      <c r="U51" s="31" t="s">
        <v>26</v>
      </c>
      <c r="V51" s="31" t="s">
        <v>2115</v>
      </c>
    </row>
    <row r="52" ht="22.5" customHeight="1">
      <c r="A52" s="31" t="s">
        <v>1794</v>
      </c>
      <c r="B52" s="31" t="s">
        <v>1795</v>
      </c>
      <c r="C52" s="32" t="s">
        <v>1733</v>
      </c>
      <c r="D52" s="32" t="s">
        <v>275</v>
      </c>
      <c r="E52" s="72" t="s">
        <v>2116</v>
      </c>
      <c r="F52" s="38" t="s">
        <v>1480</v>
      </c>
      <c r="G52" s="31" t="s">
        <v>1796</v>
      </c>
      <c r="H52" s="31" t="s">
        <v>1797</v>
      </c>
      <c r="I52" s="31" t="s">
        <v>1798</v>
      </c>
      <c r="J52" s="32" t="s">
        <v>1799</v>
      </c>
      <c r="K52" s="32" t="s">
        <v>26</v>
      </c>
      <c r="L52" s="32" t="s">
        <v>26</v>
      </c>
      <c r="M52" s="38" t="s">
        <v>2014</v>
      </c>
      <c r="N52" s="38" t="s">
        <v>1800</v>
      </c>
      <c r="O52" s="38" t="s">
        <v>1801</v>
      </c>
      <c r="P52" s="31" t="s">
        <v>1390</v>
      </c>
      <c r="Q52" s="33">
        <v>51.0</v>
      </c>
      <c r="R52" s="31" t="s">
        <v>1802</v>
      </c>
      <c r="S52" s="31" t="s">
        <v>26</v>
      </c>
      <c r="T52" s="68" t="s">
        <v>2102</v>
      </c>
      <c r="U52" s="31" t="s">
        <v>26</v>
      </c>
      <c r="V52" s="31" t="s">
        <v>2117</v>
      </c>
    </row>
    <row r="53" ht="22.5" customHeight="1">
      <c r="A53" s="31" t="s">
        <v>1427</v>
      </c>
      <c r="B53" s="31" t="s">
        <v>1803</v>
      </c>
      <c r="C53" s="32" t="s">
        <v>1372</v>
      </c>
      <c r="D53" s="32" t="s">
        <v>75</v>
      </c>
      <c r="E53" s="72" t="s">
        <v>2118</v>
      </c>
      <c r="F53" s="38" t="s">
        <v>1804</v>
      </c>
      <c r="G53" s="31" t="s">
        <v>1805</v>
      </c>
      <c r="H53" s="31" t="s">
        <v>1806</v>
      </c>
      <c r="I53" s="31" t="s">
        <v>1807</v>
      </c>
      <c r="J53" s="32" t="s">
        <v>1808</v>
      </c>
      <c r="K53" s="32" t="s">
        <v>1809</v>
      </c>
      <c r="L53" s="32" t="s">
        <v>26</v>
      </c>
      <c r="M53" s="38" t="s">
        <v>2014</v>
      </c>
      <c r="N53" s="38" t="s">
        <v>1810</v>
      </c>
      <c r="O53" s="38" t="s">
        <v>1811</v>
      </c>
      <c r="P53" s="31" t="s">
        <v>1390</v>
      </c>
      <c r="Q53" s="33">
        <v>52.0</v>
      </c>
      <c r="R53" s="31" t="s">
        <v>1812</v>
      </c>
      <c r="S53" s="31" t="s">
        <v>26</v>
      </c>
      <c r="T53" s="68" t="s">
        <v>2015</v>
      </c>
      <c r="U53" s="31" t="s">
        <v>26</v>
      </c>
      <c r="V53" s="31" t="s">
        <v>2119</v>
      </c>
    </row>
    <row r="54" ht="22.5" customHeight="1">
      <c r="A54" s="31" t="s">
        <v>1813</v>
      </c>
      <c r="B54" s="31" t="s">
        <v>1814</v>
      </c>
      <c r="C54" s="32" t="s">
        <v>1383</v>
      </c>
      <c r="D54" s="32" t="s">
        <v>75</v>
      </c>
      <c r="E54" s="72" t="s">
        <v>2120</v>
      </c>
      <c r="F54" s="38" t="s">
        <v>1804</v>
      </c>
      <c r="G54" s="31" t="s">
        <v>1815</v>
      </c>
      <c r="H54" s="31" t="s">
        <v>1816</v>
      </c>
      <c r="I54" s="31" t="s">
        <v>1817</v>
      </c>
      <c r="J54" s="32" t="s">
        <v>1818</v>
      </c>
      <c r="K54" s="32" t="s">
        <v>1819</v>
      </c>
      <c r="L54" s="32" t="s">
        <v>26</v>
      </c>
      <c r="M54" s="38" t="s">
        <v>2014</v>
      </c>
      <c r="N54" s="38" t="s">
        <v>1820</v>
      </c>
      <c r="O54" s="38" t="s">
        <v>1821</v>
      </c>
      <c r="P54" s="31" t="s">
        <v>1390</v>
      </c>
      <c r="Q54" s="33">
        <v>53.0</v>
      </c>
      <c r="R54" s="31" t="s">
        <v>1822</v>
      </c>
      <c r="S54" s="31" t="s">
        <v>26</v>
      </c>
      <c r="T54" s="68" t="s">
        <v>2018</v>
      </c>
      <c r="U54" s="31" t="s">
        <v>26</v>
      </c>
      <c r="V54" s="31" t="s">
        <v>2121</v>
      </c>
    </row>
    <row r="55" ht="22.5" customHeight="1">
      <c r="A55" s="31" t="s">
        <v>1823</v>
      </c>
      <c r="B55" s="31" t="s">
        <v>1824</v>
      </c>
      <c r="C55" s="32" t="s">
        <v>1420</v>
      </c>
      <c r="D55" s="32" t="s">
        <v>252</v>
      </c>
      <c r="E55" s="72" t="s">
        <v>2122</v>
      </c>
      <c r="F55" s="38" t="s">
        <v>1825</v>
      </c>
      <c r="G55" s="31" t="s">
        <v>1826</v>
      </c>
      <c r="H55" s="31" t="s">
        <v>1827</v>
      </c>
      <c r="I55" s="31" t="s">
        <v>1828</v>
      </c>
      <c r="J55" s="32" t="s">
        <v>1829</v>
      </c>
      <c r="K55" s="32" t="s">
        <v>1830</v>
      </c>
      <c r="L55" s="32" t="s">
        <v>26</v>
      </c>
      <c r="M55" s="38" t="s">
        <v>2014</v>
      </c>
      <c r="N55" s="38" t="s">
        <v>1831</v>
      </c>
      <c r="O55" s="38" t="s">
        <v>1832</v>
      </c>
      <c r="P55" s="31" t="s">
        <v>1390</v>
      </c>
      <c r="Q55" s="33">
        <v>54.0</v>
      </c>
      <c r="R55" s="31" t="s">
        <v>1833</v>
      </c>
      <c r="S55" s="31" t="s">
        <v>26</v>
      </c>
      <c r="T55" s="68" t="s">
        <v>2028</v>
      </c>
      <c r="U55" s="31" t="s">
        <v>26</v>
      </c>
      <c r="V55" s="31" t="s">
        <v>2123</v>
      </c>
    </row>
    <row r="56" ht="22.5" customHeight="1">
      <c r="A56" s="31" t="s">
        <v>1834</v>
      </c>
      <c r="B56" s="31" t="s">
        <v>1835</v>
      </c>
      <c r="C56" s="32" t="s">
        <v>1420</v>
      </c>
      <c r="D56" s="32" t="s">
        <v>568</v>
      </c>
      <c r="E56" s="72" t="s">
        <v>2017</v>
      </c>
      <c r="F56" s="38" t="s">
        <v>1804</v>
      </c>
      <c r="G56" s="31" t="s">
        <v>1836</v>
      </c>
      <c r="H56" s="31" t="s">
        <v>1837</v>
      </c>
      <c r="I56" s="31" t="s">
        <v>1838</v>
      </c>
      <c r="J56" s="32" t="s">
        <v>1839</v>
      </c>
      <c r="K56" s="32" t="s">
        <v>1830</v>
      </c>
      <c r="L56" s="32" t="s">
        <v>26</v>
      </c>
      <c r="M56" s="38" t="s">
        <v>2014</v>
      </c>
      <c r="N56" s="38" t="s">
        <v>1840</v>
      </c>
      <c r="O56" s="38" t="s">
        <v>1841</v>
      </c>
      <c r="P56" s="31" t="s">
        <v>1390</v>
      </c>
      <c r="Q56" s="33">
        <v>55.0</v>
      </c>
      <c r="R56" s="31" t="s">
        <v>1842</v>
      </c>
      <c r="S56" s="31" t="s">
        <v>26</v>
      </c>
      <c r="T56" s="68" t="s">
        <v>2028</v>
      </c>
      <c r="U56" s="31" t="s">
        <v>26</v>
      </c>
      <c r="V56" s="31" t="s">
        <v>2124</v>
      </c>
    </row>
    <row r="57" ht="22.5" customHeight="1">
      <c r="A57" s="31" t="s">
        <v>1843</v>
      </c>
      <c r="B57" s="31" t="s">
        <v>1844</v>
      </c>
      <c r="C57" s="32" t="s">
        <v>1845</v>
      </c>
      <c r="D57" s="32" t="s">
        <v>275</v>
      </c>
      <c r="E57" s="72" t="s">
        <v>2125</v>
      </c>
      <c r="F57" s="38" t="s">
        <v>1825</v>
      </c>
      <c r="G57" s="31" t="s">
        <v>1846</v>
      </c>
      <c r="H57" s="31" t="s">
        <v>1847</v>
      </c>
      <c r="I57" s="31" t="s">
        <v>1848</v>
      </c>
      <c r="J57" s="32" t="s">
        <v>1849</v>
      </c>
      <c r="K57" s="32" t="s">
        <v>1809</v>
      </c>
      <c r="L57" s="32" t="s">
        <v>26</v>
      </c>
      <c r="M57" s="38" t="s">
        <v>2014</v>
      </c>
      <c r="N57" s="38" t="s">
        <v>1850</v>
      </c>
      <c r="O57" s="38" t="s">
        <v>1851</v>
      </c>
      <c r="P57" s="31" t="s">
        <v>1390</v>
      </c>
      <c r="Q57" s="33">
        <v>56.0</v>
      </c>
      <c r="R57" s="31" t="s">
        <v>1852</v>
      </c>
      <c r="S57" s="31" t="s">
        <v>26</v>
      </c>
      <c r="T57" s="31" t="s">
        <v>26</v>
      </c>
      <c r="U57" s="31" t="s">
        <v>26</v>
      </c>
      <c r="V57" s="31" t="s">
        <v>2126</v>
      </c>
    </row>
    <row r="58" ht="22.5" customHeight="1">
      <c r="A58" s="31" t="s">
        <v>1853</v>
      </c>
      <c r="B58" s="31" t="s">
        <v>1854</v>
      </c>
      <c r="C58" s="32" t="s">
        <v>1383</v>
      </c>
      <c r="D58" s="32" t="s">
        <v>252</v>
      </c>
      <c r="E58" s="72" t="s">
        <v>2127</v>
      </c>
      <c r="F58" s="38" t="s">
        <v>1617</v>
      </c>
      <c r="G58" s="31" t="s">
        <v>1855</v>
      </c>
      <c r="H58" s="31" t="s">
        <v>1856</v>
      </c>
      <c r="I58" s="31" t="s">
        <v>1857</v>
      </c>
      <c r="J58" s="32" t="s">
        <v>1858</v>
      </c>
      <c r="K58" s="32" t="s">
        <v>26</v>
      </c>
      <c r="L58" s="32" t="s">
        <v>26</v>
      </c>
      <c r="M58" s="38" t="s">
        <v>2014</v>
      </c>
      <c r="N58" s="38" t="s">
        <v>1859</v>
      </c>
      <c r="O58" s="38" t="s">
        <v>1389</v>
      </c>
      <c r="P58" s="31" t="s">
        <v>1390</v>
      </c>
      <c r="Q58" s="33">
        <v>57.0</v>
      </c>
      <c r="R58" s="31" t="s">
        <v>1860</v>
      </c>
      <c r="S58" s="31" t="s">
        <v>26</v>
      </c>
      <c r="T58" s="68" t="s">
        <v>2018</v>
      </c>
      <c r="U58" s="31" t="s">
        <v>26</v>
      </c>
      <c r="V58" s="31" t="s">
        <v>2128</v>
      </c>
    </row>
    <row r="59" ht="22.5" customHeight="1">
      <c r="A59" s="31" t="s">
        <v>1861</v>
      </c>
      <c r="B59" s="31" t="s">
        <v>1862</v>
      </c>
      <c r="C59" s="32" t="s">
        <v>1372</v>
      </c>
      <c r="D59" s="32" t="s">
        <v>275</v>
      </c>
      <c r="E59" s="72" t="s">
        <v>2129</v>
      </c>
      <c r="F59" s="38" t="s">
        <v>1804</v>
      </c>
      <c r="G59" s="31" t="s">
        <v>1863</v>
      </c>
      <c r="H59" s="31" t="s">
        <v>1864</v>
      </c>
      <c r="I59" s="31" t="s">
        <v>1865</v>
      </c>
      <c r="J59" s="32" t="s">
        <v>1866</v>
      </c>
      <c r="K59" s="32" t="s">
        <v>1809</v>
      </c>
      <c r="L59" s="32" t="s">
        <v>26</v>
      </c>
      <c r="M59" s="38" t="s">
        <v>2014</v>
      </c>
      <c r="N59" s="38" t="s">
        <v>1810</v>
      </c>
      <c r="O59" s="38" t="s">
        <v>1811</v>
      </c>
      <c r="P59" s="31" t="s">
        <v>1390</v>
      </c>
      <c r="Q59" s="33">
        <v>58.0</v>
      </c>
      <c r="R59" s="31" t="s">
        <v>1867</v>
      </c>
      <c r="S59" s="31" t="s">
        <v>26</v>
      </c>
      <c r="T59" s="68" t="s">
        <v>2015</v>
      </c>
      <c r="U59" s="31" t="s">
        <v>26</v>
      </c>
      <c r="V59" s="31" t="s">
        <v>2130</v>
      </c>
    </row>
    <row r="60" ht="22.5" customHeight="1">
      <c r="A60" s="31" t="s">
        <v>1597</v>
      </c>
      <c r="B60" s="31" t="s">
        <v>1868</v>
      </c>
      <c r="C60" s="32" t="s">
        <v>1599</v>
      </c>
      <c r="D60" s="32" t="s">
        <v>75</v>
      </c>
      <c r="E60" s="72" t="s">
        <v>2072</v>
      </c>
      <c r="F60" s="38" t="s">
        <v>1869</v>
      </c>
      <c r="G60" s="31" t="s">
        <v>1870</v>
      </c>
      <c r="H60" s="31" t="s">
        <v>1871</v>
      </c>
      <c r="I60" s="31" t="s">
        <v>1872</v>
      </c>
      <c r="J60" s="32" t="s">
        <v>1873</v>
      </c>
      <c r="K60" s="32" t="s">
        <v>1874</v>
      </c>
      <c r="L60" s="32" t="s">
        <v>26</v>
      </c>
      <c r="M60" s="38" t="s">
        <v>2014</v>
      </c>
      <c r="N60" s="38" t="s">
        <v>1875</v>
      </c>
      <c r="O60" s="38" t="s">
        <v>1876</v>
      </c>
      <c r="P60" s="31" t="s">
        <v>1390</v>
      </c>
      <c r="Q60" s="33">
        <v>59.0</v>
      </c>
      <c r="R60" s="31" t="s">
        <v>1877</v>
      </c>
      <c r="S60" s="31" t="s">
        <v>26</v>
      </c>
      <c r="T60" s="68" t="s">
        <v>2073</v>
      </c>
      <c r="U60" s="31" t="s">
        <v>26</v>
      </c>
      <c r="V60" s="31" t="s">
        <v>2131</v>
      </c>
    </row>
    <row r="61" ht="22.5" customHeight="1">
      <c r="A61" s="31" t="s">
        <v>1607</v>
      </c>
      <c r="B61" s="31" t="s">
        <v>1878</v>
      </c>
      <c r="C61" s="32" t="s">
        <v>1599</v>
      </c>
      <c r="D61" s="32" t="s">
        <v>75</v>
      </c>
      <c r="E61" s="72" t="s">
        <v>2072</v>
      </c>
      <c r="F61" s="38" t="s">
        <v>1804</v>
      </c>
      <c r="G61" s="31" t="s">
        <v>1879</v>
      </c>
      <c r="H61" s="31" t="s">
        <v>1880</v>
      </c>
      <c r="I61" s="31" t="s">
        <v>1881</v>
      </c>
      <c r="J61" s="32" t="s">
        <v>1882</v>
      </c>
      <c r="K61" s="32" t="s">
        <v>1809</v>
      </c>
      <c r="L61" s="32" t="s">
        <v>26</v>
      </c>
      <c r="M61" s="38" t="s">
        <v>2014</v>
      </c>
      <c r="N61" s="38" t="s">
        <v>1883</v>
      </c>
      <c r="O61" s="38" t="s">
        <v>1884</v>
      </c>
      <c r="P61" s="31" t="s">
        <v>1390</v>
      </c>
      <c r="Q61" s="33">
        <v>60.0</v>
      </c>
      <c r="R61" s="31" t="s">
        <v>1885</v>
      </c>
      <c r="S61" s="31" t="s">
        <v>26</v>
      </c>
      <c r="T61" s="68" t="s">
        <v>2073</v>
      </c>
      <c r="U61" s="31" t="s">
        <v>26</v>
      </c>
      <c r="V61" s="31" t="s">
        <v>2132</v>
      </c>
    </row>
    <row r="62" ht="22.5" customHeight="1">
      <c r="A62" s="31" t="s">
        <v>1886</v>
      </c>
      <c r="B62" s="31" t="s">
        <v>1887</v>
      </c>
      <c r="C62" s="32" t="s">
        <v>1420</v>
      </c>
      <c r="D62" s="32" t="s">
        <v>75</v>
      </c>
      <c r="E62" s="72" t="s">
        <v>2133</v>
      </c>
      <c r="F62" s="38" t="s">
        <v>1804</v>
      </c>
      <c r="G62" s="31" t="s">
        <v>1888</v>
      </c>
      <c r="H62" s="31" t="s">
        <v>1889</v>
      </c>
      <c r="I62" s="31" t="s">
        <v>1890</v>
      </c>
      <c r="J62" s="32" t="s">
        <v>1891</v>
      </c>
      <c r="K62" s="32" t="s">
        <v>1809</v>
      </c>
      <c r="L62" s="32" t="s">
        <v>26</v>
      </c>
      <c r="M62" s="38" t="s">
        <v>2014</v>
      </c>
      <c r="N62" s="38" t="s">
        <v>1892</v>
      </c>
      <c r="O62" s="38" t="s">
        <v>1893</v>
      </c>
      <c r="P62" s="31" t="s">
        <v>1390</v>
      </c>
      <c r="Q62" s="33">
        <v>61.0</v>
      </c>
      <c r="R62" s="31" t="s">
        <v>1894</v>
      </c>
      <c r="S62" s="31" t="s">
        <v>26</v>
      </c>
      <c r="T62" s="68" t="s">
        <v>2028</v>
      </c>
      <c r="U62" s="31" t="s">
        <v>26</v>
      </c>
      <c r="V62" s="31" t="s">
        <v>2134</v>
      </c>
    </row>
    <row r="63" ht="22.5" customHeight="1">
      <c r="A63" s="31" t="s">
        <v>1895</v>
      </c>
      <c r="B63" s="31" t="s">
        <v>1896</v>
      </c>
      <c r="C63" s="32" t="s">
        <v>1576</v>
      </c>
      <c r="D63" s="32" t="s">
        <v>75</v>
      </c>
      <c r="E63" s="72" t="s">
        <v>2135</v>
      </c>
      <c r="F63" s="38" t="s">
        <v>1897</v>
      </c>
      <c r="G63" s="31" t="s">
        <v>1898</v>
      </c>
      <c r="H63" s="31" t="s">
        <v>1899</v>
      </c>
      <c r="I63" s="31" t="s">
        <v>1900</v>
      </c>
      <c r="J63" s="32" t="s">
        <v>1901</v>
      </c>
      <c r="K63" s="32" t="s">
        <v>26</v>
      </c>
      <c r="L63" s="32" t="s">
        <v>26</v>
      </c>
      <c r="M63" s="38" t="s">
        <v>2014</v>
      </c>
      <c r="N63" s="38" t="s">
        <v>1902</v>
      </c>
      <c r="O63" s="38" t="s">
        <v>1903</v>
      </c>
      <c r="P63" s="31" t="s">
        <v>1390</v>
      </c>
      <c r="Q63" s="33">
        <v>62.0</v>
      </c>
      <c r="R63" s="31" t="s">
        <v>1904</v>
      </c>
      <c r="S63" s="31" t="s">
        <v>26</v>
      </c>
      <c r="T63" s="31" t="s">
        <v>26</v>
      </c>
      <c r="U63" s="31" t="s">
        <v>26</v>
      </c>
      <c r="V63" s="31" t="s">
        <v>2136</v>
      </c>
    </row>
    <row r="64" ht="22.5" customHeight="1">
      <c r="A64" s="42" t="s">
        <v>1533</v>
      </c>
      <c r="B64" s="42" t="s">
        <v>1905</v>
      </c>
      <c r="C64" s="43" t="s">
        <v>1525</v>
      </c>
      <c r="D64" s="43" t="s">
        <v>20</v>
      </c>
      <c r="E64" s="76" t="s">
        <v>2137</v>
      </c>
      <c r="F64" s="44" t="s">
        <v>1906</v>
      </c>
      <c r="G64" s="42" t="s">
        <v>1907</v>
      </c>
      <c r="H64" s="42" t="s">
        <v>1908</v>
      </c>
      <c r="I64" s="42" t="s">
        <v>1909</v>
      </c>
      <c r="J64" s="43" t="s">
        <v>1910</v>
      </c>
      <c r="K64" s="43" t="s">
        <v>1911</v>
      </c>
      <c r="L64" s="43" t="s">
        <v>26</v>
      </c>
      <c r="M64" s="44" t="s">
        <v>2014</v>
      </c>
      <c r="N64" s="44" t="s">
        <v>1912</v>
      </c>
      <c r="O64" s="44" t="s">
        <v>1913</v>
      </c>
      <c r="P64" s="42" t="s">
        <v>1390</v>
      </c>
      <c r="Q64" s="45">
        <v>63.0</v>
      </c>
      <c r="R64" s="42" t="s">
        <v>1914</v>
      </c>
      <c r="S64" s="42" t="s">
        <v>26</v>
      </c>
      <c r="T64" s="77" t="s">
        <v>2053</v>
      </c>
      <c r="U64" s="42" t="s">
        <v>26</v>
      </c>
      <c r="V64" s="42" t="s">
        <v>2138</v>
      </c>
    </row>
    <row r="65" ht="22.5" customHeight="1">
      <c r="A65" s="42" t="s">
        <v>1915</v>
      </c>
      <c r="B65" s="42" t="s">
        <v>1916</v>
      </c>
      <c r="C65" s="43" t="s">
        <v>1383</v>
      </c>
      <c r="D65" s="43" t="s">
        <v>46</v>
      </c>
      <c r="E65" s="76" t="s">
        <v>2139</v>
      </c>
      <c r="F65" s="44" t="s">
        <v>1917</v>
      </c>
      <c r="G65" s="42" t="s">
        <v>1918</v>
      </c>
      <c r="H65" s="42" t="s">
        <v>1919</v>
      </c>
      <c r="I65" s="42" t="s">
        <v>1920</v>
      </c>
      <c r="J65" s="43" t="s">
        <v>1921</v>
      </c>
      <c r="K65" s="43" t="s">
        <v>26</v>
      </c>
      <c r="L65" s="43" t="s">
        <v>26</v>
      </c>
      <c r="M65" s="44" t="s">
        <v>2014</v>
      </c>
      <c r="N65" s="44" t="s">
        <v>1922</v>
      </c>
      <c r="O65" s="44" t="s">
        <v>1485</v>
      </c>
      <c r="P65" s="42" t="s">
        <v>1390</v>
      </c>
      <c r="Q65" s="45">
        <v>64.0</v>
      </c>
      <c r="R65" s="42" t="s">
        <v>1923</v>
      </c>
      <c r="S65" s="42" t="s">
        <v>26</v>
      </c>
      <c r="T65" s="77" t="s">
        <v>2018</v>
      </c>
      <c r="U65" s="42" t="s">
        <v>26</v>
      </c>
      <c r="V65" s="42" t="s">
        <v>2140</v>
      </c>
    </row>
    <row r="66" ht="22.5" customHeight="1">
      <c r="A66" s="42" t="s">
        <v>1615</v>
      </c>
      <c r="B66" s="42" t="s">
        <v>1924</v>
      </c>
      <c r="C66" s="43" t="s">
        <v>1599</v>
      </c>
      <c r="D66" s="43" t="s">
        <v>191</v>
      </c>
      <c r="E66" s="76" t="s">
        <v>2141</v>
      </c>
      <c r="F66" s="44" t="s">
        <v>1743</v>
      </c>
      <c r="G66" s="42" t="s">
        <v>1925</v>
      </c>
      <c r="H66" s="42" t="s">
        <v>1926</v>
      </c>
      <c r="I66" s="42" t="s">
        <v>1927</v>
      </c>
      <c r="J66" s="43" t="s">
        <v>1928</v>
      </c>
      <c r="K66" s="43" t="s">
        <v>1929</v>
      </c>
      <c r="L66" s="43" t="s">
        <v>26</v>
      </c>
      <c r="M66" s="44" t="s">
        <v>2014</v>
      </c>
      <c r="N66" s="44" t="s">
        <v>1930</v>
      </c>
      <c r="O66" s="44" t="s">
        <v>1931</v>
      </c>
      <c r="P66" s="42" t="s">
        <v>1390</v>
      </c>
      <c r="Q66" s="45">
        <v>65.0</v>
      </c>
      <c r="R66" s="42" t="s">
        <v>1932</v>
      </c>
      <c r="S66" s="42" t="s">
        <v>26</v>
      </c>
      <c r="T66" s="77" t="s">
        <v>2073</v>
      </c>
      <c r="U66" s="42" t="s">
        <v>26</v>
      </c>
      <c r="V66" s="42" t="s">
        <v>2142</v>
      </c>
    </row>
    <row r="67" ht="22.5" customHeight="1">
      <c r="A67" s="42" t="s">
        <v>1731</v>
      </c>
      <c r="B67" s="42" t="s">
        <v>1933</v>
      </c>
      <c r="C67" s="43" t="s">
        <v>1733</v>
      </c>
      <c r="D67" s="43" t="s">
        <v>275</v>
      </c>
      <c r="E67" s="76" t="s">
        <v>2143</v>
      </c>
      <c r="F67" s="44" t="s">
        <v>1934</v>
      </c>
      <c r="G67" s="42" t="s">
        <v>1935</v>
      </c>
      <c r="H67" s="42" t="s">
        <v>1936</v>
      </c>
      <c r="I67" s="42" t="s">
        <v>1937</v>
      </c>
      <c r="J67" s="43" t="s">
        <v>1938</v>
      </c>
      <c r="K67" s="43" t="s">
        <v>1939</v>
      </c>
      <c r="L67" s="43" t="s">
        <v>26</v>
      </c>
      <c r="M67" s="44" t="s">
        <v>2014</v>
      </c>
      <c r="N67" s="44" t="s">
        <v>1940</v>
      </c>
      <c r="O67" s="44" t="s">
        <v>1941</v>
      </c>
      <c r="P67" s="42" t="s">
        <v>1390</v>
      </c>
      <c r="Q67" s="45">
        <v>66.0</v>
      </c>
      <c r="R67" s="42" t="s">
        <v>1942</v>
      </c>
      <c r="S67" s="42" t="s">
        <v>26</v>
      </c>
      <c r="T67" s="77" t="s">
        <v>2102</v>
      </c>
      <c r="U67" s="42" t="s">
        <v>26</v>
      </c>
      <c r="V67" s="42" t="s">
        <v>2144</v>
      </c>
    </row>
    <row r="68" ht="22.5" customHeight="1">
      <c r="A68" s="42" t="s">
        <v>1566</v>
      </c>
      <c r="B68" s="42" t="s">
        <v>1943</v>
      </c>
      <c r="C68" s="43" t="s">
        <v>1525</v>
      </c>
      <c r="D68" s="43" t="s">
        <v>994</v>
      </c>
      <c r="E68" s="76" t="s">
        <v>2145</v>
      </c>
      <c r="F68" s="44" t="s">
        <v>1944</v>
      </c>
      <c r="G68" s="42" t="s">
        <v>1945</v>
      </c>
      <c r="H68" s="42" t="s">
        <v>1946</v>
      </c>
      <c r="I68" s="42" t="s">
        <v>1947</v>
      </c>
      <c r="J68" s="43" t="s">
        <v>1948</v>
      </c>
      <c r="K68" s="43" t="s">
        <v>1949</v>
      </c>
      <c r="L68" s="43" t="s">
        <v>26</v>
      </c>
      <c r="M68" s="44" t="s">
        <v>2070</v>
      </c>
      <c r="N68" s="44" t="s">
        <v>1950</v>
      </c>
      <c r="O68" s="44" t="s">
        <v>1951</v>
      </c>
      <c r="P68" s="42" t="s">
        <v>1390</v>
      </c>
      <c r="Q68" s="45">
        <v>67.0</v>
      </c>
      <c r="R68" s="42" t="s">
        <v>1952</v>
      </c>
      <c r="S68" s="42" t="s">
        <v>26</v>
      </c>
      <c r="T68" s="77" t="s">
        <v>2053</v>
      </c>
      <c r="U68" s="42" t="s">
        <v>26</v>
      </c>
      <c r="V68" s="42" t="s">
        <v>2146</v>
      </c>
    </row>
    <row r="69" ht="22.5" customHeight="1">
      <c r="A69" s="42" t="s">
        <v>1953</v>
      </c>
      <c r="B69" s="42" t="s">
        <v>1954</v>
      </c>
      <c r="C69" s="43" t="s">
        <v>1410</v>
      </c>
      <c r="D69" s="43" t="s">
        <v>252</v>
      </c>
      <c r="E69" s="76" t="s">
        <v>2147</v>
      </c>
      <c r="F69" s="44" t="s">
        <v>1743</v>
      </c>
      <c r="G69" s="42" t="s">
        <v>1955</v>
      </c>
      <c r="H69" s="42" t="s">
        <v>1956</v>
      </c>
      <c r="I69" s="42" t="s">
        <v>1957</v>
      </c>
      <c r="J69" s="43" t="s">
        <v>1958</v>
      </c>
      <c r="K69" s="43" t="s">
        <v>1959</v>
      </c>
      <c r="L69" s="43" t="s">
        <v>26</v>
      </c>
      <c r="M69" s="44" t="s">
        <v>2014</v>
      </c>
      <c r="N69" s="44" t="s">
        <v>1960</v>
      </c>
      <c r="O69" s="44" t="s">
        <v>1961</v>
      </c>
      <c r="P69" s="42" t="s">
        <v>1390</v>
      </c>
      <c r="Q69" s="45">
        <v>68.0</v>
      </c>
      <c r="R69" s="42" t="s">
        <v>1962</v>
      </c>
      <c r="S69" s="42" t="s">
        <v>26</v>
      </c>
      <c r="T69" s="77" t="s">
        <v>2148</v>
      </c>
      <c r="U69" s="42" t="s">
        <v>26</v>
      </c>
      <c r="V69" s="42" t="s">
        <v>2149</v>
      </c>
    </row>
    <row r="70" ht="22.5" customHeight="1">
      <c r="A70" s="42" t="s">
        <v>1408</v>
      </c>
      <c r="B70" s="42" t="s">
        <v>1963</v>
      </c>
      <c r="C70" s="43" t="s">
        <v>1410</v>
      </c>
      <c r="D70" s="43" t="s">
        <v>46</v>
      </c>
      <c r="E70" s="76" t="s">
        <v>2150</v>
      </c>
      <c r="F70" s="44" t="s">
        <v>1804</v>
      </c>
      <c r="G70" s="42" t="s">
        <v>1964</v>
      </c>
      <c r="H70" s="42" t="s">
        <v>1965</v>
      </c>
      <c r="I70" s="42" t="s">
        <v>1966</v>
      </c>
      <c r="J70" s="43" t="s">
        <v>1967</v>
      </c>
      <c r="K70" s="43" t="s">
        <v>1968</v>
      </c>
      <c r="L70" s="43" t="s">
        <v>1969</v>
      </c>
      <c r="M70" s="44" t="s">
        <v>2014</v>
      </c>
      <c r="N70" s="44" t="s">
        <v>1970</v>
      </c>
      <c r="O70" s="44" t="s">
        <v>1971</v>
      </c>
      <c r="P70" s="42" t="s">
        <v>1390</v>
      </c>
      <c r="Q70" s="45">
        <v>69.0</v>
      </c>
      <c r="R70" s="42" t="s">
        <v>1972</v>
      </c>
      <c r="S70" s="42" t="s">
        <v>26</v>
      </c>
      <c r="T70" s="77" t="s">
        <v>2151</v>
      </c>
      <c r="U70" s="42" t="s">
        <v>26</v>
      </c>
      <c r="V70" s="42" t="s">
        <v>2152</v>
      </c>
    </row>
    <row r="71" ht="22.5" customHeight="1">
      <c r="A71" s="42" t="s">
        <v>1436</v>
      </c>
      <c r="B71" s="42" t="s">
        <v>1973</v>
      </c>
      <c r="C71" s="43" t="s">
        <v>1410</v>
      </c>
      <c r="D71" s="43" t="s">
        <v>191</v>
      </c>
      <c r="E71" s="76" t="s">
        <v>2153</v>
      </c>
      <c r="F71" s="44" t="s">
        <v>1934</v>
      </c>
      <c r="G71" s="42" t="s">
        <v>1974</v>
      </c>
      <c r="H71" s="42" t="s">
        <v>1975</v>
      </c>
      <c r="I71" s="42" t="s">
        <v>1976</v>
      </c>
      <c r="J71" s="43" t="s">
        <v>1977</v>
      </c>
      <c r="K71" s="43" t="s">
        <v>1978</v>
      </c>
      <c r="L71" s="43" t="s">
        <v>26</v>
      </c>
      <c r="M71" s="44" t="s">
        <v>2014</v>
      </c>
      <c r="N71" s="44" t="s">
        <v>1970</v>
      </c>
      <c r="O71" s="44" t="s">
        <v>1971</v>
      </c>
      <c r="P71" s="42" t="s">
        <v>1390</v>
      </c>
      <c r="Q71" s="45">
        <v>70.0</v>
      </c>
      <c r="R71" s="42" t="s">
        <v>1979</v>
      </c>
      <c r="S71" s="42" t="s">
        <v>26</v>
      </c>
      <c r="T71" s="77" t="s">
        <v>2151</v>
      </c>
      <c r="U71" s="42" t="s">
        <v>26</v>
      </c>
      <c r="V71" s="42" t="s">
        <v>2154</v>
      </c>
    </row>
    <row r="72" ht="22.5" customHeight="1">
      <c r="A72" s="46"/>
      <c r="B72" s="8"/>
      <c r="C72" s="47"/>
      <c r="D72" s="47"/>
      <c r="E72" s="78"/>
      <c r="F72" s="48"/>
      <c r="G72" s="46"/>
      <c r="H72" s="8"/>
      <c r="I72" s="46"/>
      <c r="J72" s="47"/>
      <c r="K72" s="47"/>
      <c r="L72" s="47"/>
      <c r="M72" s="48"/>
      <c r="N72" s="48"/>
      <c r="O72" s="48"/>
      <c r="P72" s="46"/>
      <c r="Q72" s="41"/>
      <c r="R72" s="46"/>
      <c r="S72" s="46"/>
      <c r="T72" s="46"/>
      <c r="U72" s="46"/>
      <c r="V72" s="79"/>
    </row>
    <row r="73" ht="22.5" customHeight="1">
      <c r="A73" s="46"/>
      <c r="B73" s="8"/>
      <c r="C73" s="47"/>
      <c r="D73" s="47"/>
      <c r="E73" s="78"/>
      <c r="F73" s="48"/>
      <c r="G73" s="46"/>
      <c r="H73" s="8"/>
      <c r="I73" s="46"/>
      <c r="J73" s="47"/>
      <c r="K73" s="47"/>
      <c r="L73" s="47"/>
      <c r="M73" s="48"/>
      <c r="N73" s="48"/>
      <c r="O73" s="48"/>
      <c r="P73" s="46"/>
      <c r="Q73" s="41"/>
      <c r="R73" s="46"/>
      <c r="S73" s="49"/>
      <c r="T73" s="46"/>
      <c r="U73" s="46"/>
      <c r="V73" s="79"/>
    </row>
    <row r="74" ht="22.5" customHeight="1">
      <c r="A74" s="46"/>
      <c r="B74" s="8"/>
      <c r="C74" s="47"/>
      <c r="D74" s="47"/>
      <c r="E74" s="78"/>
      <c r="F74" s="48"/>
      <c r="G74" s="46"/>
      <c r="H74" s="8"/>
      <c r="I74" s="46"/>
      <c r="J74" s="47"/>
      <c r="K74" s="47"/>
      <c r="L74" s="47"/>
      <c r="M74" s="48"/>
      <c r="N74" s="48"/>
      <c r="O74" s="48"/>
      <c r="P74" s="46"/>
      <c r="Q74" s="41"/>
      <c r="R74" s="46"/>
      <c r="S74" s="46"/>
      <c r="T74" s="46"/>
      <c r="U74" s="46"/>
      <c r="V74" s="79"/>
    </row>
    <row r="75" ht="22.5" customHeight="1">
      <c r="A75" s="46"/>
      <c r="B75" s="8"/>
      <c r="C75" s="47"/>
      <c r="D75" s="47"/>
      <c r="E75" s="78"/>
      <c r="F75" s="48"/>
      <c r="G75" s="46"/>
      <c r="H75" s="8"/>
      <c r="I75" s="46"/>
      <c r="J75" s="47"/>
      <c r="K75" s="47"/>
      <c r="L75" s="47"/>
      <c r="M75" s="48"/>
      <c r="N75" s="48"/>
      <c r="O75" s="48"/>
      <c r="P75" s="46"/>
      <c r="Q75" s="41"/>
      <c r="R75" s="46"/>
      <c r="S75" s="46"/>
      <c r="T75" s="46"/>
      <c r="U75" s="46"/>
      <c r="V75" s="79"/>
    </row>
    <row r="76" ht="22.5" customHeight="1">
      <c r="A76" s="46"/>
      <c r="B76" s="8"/>
      <c r="C76" s="47"/>
      <c r="D76" s="47"/>
      <c r="E76" s="78"/>
      <c r="F76" s="48"/>
      <c r="G76" s="46"/>
      <c r="H76" s="8"/>
      <c r="I76" s="46"/>
      <c r="J76" s="47"/>
      <c r="K76" s="47"/>
      <c r="L76" s="47"/>
      <c r="M76" s="48"/>
      <c r="N76" s="48"/>
      <c r="O76" s="48"/>
      <c r="P76" s="46"/>
      <c r="Q76" s="41"/>
      <c r="R76" s="46"/>
      <c r="S76" s="46"/>
      <c r="T76" s="46"/>
      <c r="U76" s="46"/>
      <c r="V76" s="79"/>
    </row>
    <row r="77" ht="22.5" customHeight="1">
      <c r="A77" s="46"/>
      <c r="B77" s="8"/>
      <c r="C77" s="47"/>
      <c r="D77" s="47"/>
      <c r="E77" s="78"/>
      <c r="F77" s="48"/>
      <c r="G77" s="46"/>
      <c r="H77" s="8"/>
      <c r="I77" s="46"/>
      <c r="J77" s="47"/>
      <c r="K77" s="47"/>
      <c r="L77" s="47"/>
      <c r="M77" s="48"/>
      <c r="N77" s="48"/>
      <c r="O77" s="48"/>
      <c r="P77" s="46"/>
      <c r="Q77" s="41"/>
      <c r="R77" s="46"/>
      <c r="S77" s="46"/>
      <c r="T77" s="46"/>
      <c r="U77" s="46"/>
      <c r="V77" s="79"/>
    </row>
    <row r="78" ht="22.5" customHeight="1">
      <c r="A78" s="46"/>
      <c r="B78" s="8"/>
      <c r="C78" s="47"/>
      <c r="D78" s="47"/>
      <c r="E78" s="78"/>
      <c r="F78" s="48"/>
      <c r="G78" s="46"/>
      <c r="H78" s="8"/>
      <c r="I78" s="46"/>
      <c r="J78" s="47"/>
      <c r="K78" s="47"/>
      <c r="L78" s="47"/>
      <c r="M78" s="48"/>
      <c r="N78" s="48"/>
      <c r="O78" s="48"/>
      <c r="P78" s="46"/>
      <c r="Q78" s="41"/>
      <c r="R78" s="46"/>
      <c r="S78" s="46"/>
      <c r="T78" s="46"/>
      <c r="U78" s="46"/>
      <c r="V78" s="79"/>
    </row>
    <row r="79" ht="22.5" customHeight="1">
      <c r="A79" s="46"/>
      <c r="B79" s="8"/>
      <c r="C79" s="47"/>
      <c r="D79" s="47"/>
      <c r="E79" s="78"/>
      <c r="F79" s="48"/>
      <c r="G79" s="46"/>
      <c r="H79" s="8"/>
      <c r="I79" s="46"/>
      <c r="J79" s="47"/>
      <c r="K79" s="47"/>
      <c r="L79" s="47"/>
      <c r="M79" s="48"/>
      <c r="N79" s="48"/>
      <c r="O79" s="48"/>
      <c r="P79" s="46"/>
      <c r="Q79" s="41"/>
      <c r="R79" s="46"/>
      <c r="S79" s="46"/>
      <c r="T79" s="46"/>
      <c r="U79" s="46"/>
      <c r="V79" s="79"/>
    </row>
    <row r="80" ht="22.5" customHeight="1">
      <c r="A80" s="46"/>
      <c r="B80" s="8"/>
      <c r="C80" s="47"/>
      <c r="D80" s="47"/>
      <c r="E80" s="78"/>
      <c r="F80" s="48"/>
      <c r="G80" s="46"/>
      <c r="H80" s="8"/>
      <c r="I80" s="46"/>
      <c r="J80" s="47"/>
      <c r="K80" s="47"/>
      <c r="L80" s="47"/>
      <c r="M80" s="48"/>
      <c r="N80" s="48"/>
      <c r="O80" s="48"/>
      <c r="P80" s="46"/>
      <c r="Q80" s="41"/>
      <c r="R80" s="46"/>
      <c r="S80" s="46"/>
      <c r="T80" s="46"/>
      <c r="U80" s="46"/>
      <c r="V80" s="79"/>
    </row>
    <row r="81" ht="22.5" customHeight="1">
      <c r="A81" s="46"/>
      <c r="B81" s="8"/>
      <c r="C81" s="47"/>
      <c r="D81" s="47"/>
      <c r="E81" s="78"/>
      <c r="F81" s="48"/>
      <c r="G81" s="46"/>
      <c r="H81" s="8"/>
      <c r="I81" s="46"/>
      <c r="J81" s="47"/>
      <c r="K81" s="47"/>
      <c r="L81" s="47"/>
      <c r="M81" s="48"/>
      <c r="N81" s="48"/>
      <c r="O81" s="48"/>
      <c r="P81" s="46"/>
      <c r="Q81" s="41"/>
      <c r="R81" s="46"/>
      <c r="S81" s="46"/>
      <c r="T81" s="46"/>
      <c r="U81" s="46"/>
      <c r="V81" s="79"/>
    </row>
    <row r="82" ht="22.5" customHeight="1">
      <c r="A82" s="46"/>
      <c r="B82" s="8"/>
      <c r="C82" s="47"/>
      <c r="D82" s="47"/>
      <c r="E82" s="78"/>
      <c r="F82" s="48"/>
      <c r="G82" s="46"/>
      <c r="H82" s="8"/>
      <c r="I82" s="46"/>
      <c r="J82" s="47"/>
      <c r="K82" s="47"/>
      <c r="L82" s="47"/>
      <c r="M82" s="48"/>
      <c r="N82" s="48"/>
      <c r="O82" s="48"/>
      <c r="P82" s="46"/>
      <c r="Q82" s="41"/>
      <c r="R82" s="46"/>
      <c r="S82" s="46"/>
      <c r="T82" s="46"/>
      <c r="U82" s="46"/>
      <c r="V82" s="79"/>
    </row>
    <row r="83" ht="22.5" customHeight="1">
      <c r="A83" s="46"/>
      <c r="B83" s="8"/>
      <c r="C83" s="47"/>
      <c r="D83" s="47"/>
      <c r="E83" s="78"/>
      <c r="F83" s="48"/>
      <c r="G83" s="46"/>
      <c r="H83" s="8"/>
      <c r="I83" s="46"/>
      <c r="J83" s="47"/>
      <c r="K83" s="47"/>
      <c r="L83" s="47"/>
      <c r="M83" s="48"/>
      <c r="N83" s="48"/>
      <c r="O83" s="48"/>
      <c r="P83" s="46"/>
      <c r="Q83" s="41"/>
      <c r="R83" s="46"/>
      <c r="S83" s="46"/>
      <c r="T83" s="46"/>
      <c r="U83" s="46"/>
      <c r="V83" s="79"/>
    </row>
    <row r="84" ht="22.5" customHeight="1">
      <c r="A84" s="46"/>
      <c r="B84" s="8"/>
      <c r="C84" s="47"/>
      <c r="D84" s="47"/>
      <c r="E84" s="78"/>
      <c r="F84" s="48"/>
      <c r="G84" s="46"/>
      <c r="H84" s="8"/>
      <c r="I84" s="46"/>
      <c r="J84" s="47"/>
      <c r="K84" s="47"/>
      <c r="L84" s="47"/>
      <c r="M84" s="48"/>
      <c r="N84" s="48"/>
      <c r="O84" s="48"/>
      <c r="P84" s="46"/>
      <c r="Q84" s="41"/>
      <c r="R84" s="46"/>
      <c r="S84" s="46"/>
      <c r="T84" s="46"/>
      <c r="U84" s="46"/>
      <c r="V84" s="79"/>
    </row>
    <row r="85" ht="22.5" customHeight="1">
      <c r="A85" s="46"/>
      <c r="B85" s="8"/>
      <c r="C85" s="47"/>
      <c r="D85" s="47"/>
      <c r="E85" s="78"/>
      <c r="F85" s="48"/>
      <c r="G85" s="46"/>
      <c r="H85" s="8"/>
      <c r="I85" s="46"/>
      <c r="J85" s="47"/>
      <c r="K85" s="47"/>
      <c r="L85" s="47"/>
      <c r="M85" s="48"/>
      <c r="N85" s="48"/>
      <c r="O85" s="48"/>
      <c r="P85" s="46"/>
      <c r="Q85" s="41"/>
      <c r="R85" s="46"/>
      <c r="S85" s="46"/>
      <c r="T85" s="46"/>
      <c r="U85" s="46"/>
      <c r="V85" s="79"/>
    </row>
    <row r="86" ht="22.5" customHeight="1">
      <c r="A86" s="46"/>
      <c r="B86" s="8"/>
      <c r="C86" s="47"/>
      <c r="D86" s="47"/>
      <c r="E86" s="78"/>
      <c r="F86" s="48"/>
      <c r="G86" s="8"/>
      <c r="H86" s="8"/>
      <c r="I86" s="46"/>
      <c r="J86" s="47"/>
      <c r="K86" s="47"/>
      <c r="L86" s="47"/>
      <c r="M86" s="48"/>
      <c r="N86" s="48"/>
      <c r="O86" s="48"/>
      <c r="P86" s="46"/>
      <c r="Q86" s="41"/>
      <c r="R86" s="46"/>
      <c r="S86" s="46"/>
      <c r="T86" s="46"/>
      <c r="U86" s="46"/>
      <c r="V86" s="79"/>
    </row>
    <row r="87" ht="22.5" customHeight="1">
      <c r="A87" s="46"/>
      <c r="B87" s="8"/>
      <c r="C87" s="47"/>
      <c r="D87" s="47"/>
      <c r="E87" s="78"/>
      <c r="F87" s="48"/>
      <c r="G87" s="46"/>
      <c r="H87" s="8"/>
      <c r="I87" s="46"/>
      <c r="J87" s="47"/>
      <c r="K87" s="47"/>
      <c r="L87" s="47"/>
      <c r="M87" s="48"/>
      <c r="N87" s="48"/>
      <c r="O87" s="48"/>
      <c r="P87" s="46"/>
      <c r="Q87" s="41"/>
      <c r="R87" s="46"/>
      <c r="S87" s="46"/>
      <c r="T87" s="46"/>
      <c r="U87" s="46"/>
      <c r="V87" s="79"/>
    </row>
    <row r="88" ht="22.5" customHeight="1">
      <c r="A88" s="46"/>
      <c r="B88" s="8"/>
      <c r="C88" s="47"/>
      <c r="D88" s="47"/>
      <c r="E88" s="78"/>
      <c r="F88" s="48"/>
      <c r="G88" s="46"/>
      <c r="H88" s="8"/>
      <c r="I88" s="46"/>
      <c r="J88" s="47"/>
      <c r="K88" s="47"/>
      <c r="L88" s="47"/>
      <c r="M88" s="48"/>
      <c r="N88" s="48"/>
      <c r="O88" s="48"/>
      <c r="P88" s="46"/>
      <c r="Q88" s="41"/>
      <c r="R88" s="46"/>
      <c r="S88" s="46"/>
      <c r="T88" s="46"/>
      <c r="U88" s="46"/>
      <c r="V88" s="79"/>
    </row>
    <row r="89" ht="22.5" customHeight="1">
      <c r="A89" s="46"/>
      <c r="B89" s="8"/>
      <c r="C89" s="47"/>
      <c r="D89" s="47"/>
      <c r="E89" s="78"/>
      <c r="F89" s="48"/>
      <c r="G89" s="46"/>
      <c r="H89" s="8"/>
      <c r="I89" s="46"/>
      <c r="J89" s="47"/>
      <c r="K89" s="47"/>
      <c r="L89" s="47"/>
      <c r="M89" s="48"/>
      <c r="N89" s="48"/>
      <c r="O89" s="48"/>
      <c r="P89" s="46"/>
      <c r="Q89" s="41"/>
      <c r="R89" s="46"/>
      <c r="S89" s="46"/>
      <c r="T89" s="46"/>
      <c r="U89" s="46"/>
      <c r="V89" s="79"/>
    </row>
    <row r="90" ht="22.5" customHeight="1">
      <c r="A90" s="46"/>
      <c r="B90" s="8"/>
      <c r="C90" s="47"/>
      <c r="D90" s="47"/>
      <c r="E90" s="78"/>
      <c r="F90" s="48"/>
      <c r="G90" s="46"/>
      <c r="H90" s="8"/>
      <c r="I90" s="46"/>
      <c r="J90" s="47"/>
      <c r="K90" s="47"/>
      <c r="L90" s="47"/>
      <c r="M90" s="48"/>
      <c r="N90" s="48"/>
      <c r="O90" s="48"/>
      <c r="P90" s="46"/>
      <c r="Q90" s="41"/>
      <c r="R90" s="46"/>
      <c r="S90" s="46"/>
      <c r="T90" s="46"/>
      <c r="U90" s="46"/>
      <c r="V90" s="79"/>
    </row>
    <row r="91" ht="22.5" customHeight="1">
      <c r="A91" s="46"/>
      <c r="B91" s="8"/>
      <c r="C91" s="47"/>
      <c r="D91" s="47"/>
      <c r="E91" s="78"/>
      <c r="F91" s="48"/>
      <c r="G91" s="46"/>
      <c r="H91" s="8"/>
      <c r="I91" s="46"/>
      <c r="J91" s="47"/>
      <c r="K91" s="47"/>
      <c r="L91" s="47"/>
      <c r="M91" s="48"/>
      <c r="N91" s="48"/>
      <c r="O91" s="48"/>
      <c r="P91" s="46"/>
      <c r="Q91" s="41"/>
      <c r="R91" s="46"/>
      <c r="S91" s="46"/>
      <c r="T91" s="46"/>
      <c r="U91" s="46"/>
      <c r="V91" s="79"/>
    </row>
    <row r="92" ht="22.5" customHeight="1">
      <c r="A92" s="46"/>
      <c r="B92" s="8"/>
      <c r="C92" s="47"/>
      <c r="D92" s="47"/>
      <c r="E92" s="78"/>
      <c r="F92" s="48"/>
      <c r="G92" s="46"/>
      <c r="H92" s="8"/>
      <c r="I92" s="46"/>
      <c r="J92" s="47"/>
      <c r="K92" s="47"/>
      <c r="L92" s="47"/>
      <c r="M92" s="48"/>
      <c r="N92" s="48"/>
      <c r="O92" s="48"/>
      <c r="P92" s="46"/>
      <c r="Q92" s="41"/>
      <c r="R92" s="46"/>
      <c r="S92" s="46"/>
      <c r="T92" s="46"/>
      <c r="U92" s="46"/>
      <c r="V92" s="79"/>
    </row>
    <row r="93" ht="22.5" customHeight="1">
      <c r="A93" s="46"/>
      <c r="B93" s="8"/>
      <c r="C93" s="47"/>
      <c r="D93" s="47"/>
      <c r="E93" s="78"/>
      <c r="F93" s="48"/>
      <c r="G93" s="46"/>
      <c r="H93" s="8"/>
      <c r="I93" s="46"/>
      <c r="J93" s="47"/>
      <c r="K93" s="47"/>
      <c r="L93" s="47"/>
      <c r="M93" s="48"/>
      <c r="N93" s="48"/>
      <c r="O93" s="48"/>
      <c r="P93" s="46"/>
      <c r="Q93" s="41"/>
      <c r="R93" s="46"/>
      <c r="S93" s="46"/>
      <c r="T93" s="46"/>
      <c r="U93" s="46"/>
      <c r="V93" s="79"/>
    </row>
    <row r="94" ht="22.5" customHeight="1">
      <c r="A94" s="46"/>
      <c r="B94" s="8"/>
      <c r="C94" s="47"/>
      <c r="D94" s="47"/>
      <c r="E94" s="78"/>
      <c r="F94" s="48"/>
      <c r="G94" s="46"/>
      <c r="H94" s="8"/>
      <c r="I94" s="46"/>
      <c r="J94" s="47"/>
      <c r="K94" s="47"/>
      <c r="L94" s="47"/>
      <c r="M94" s="48"/>
      <c r="N94" s="48"/>
      <c r="O94" s="48"/>
      <c r="P94" s="46"/>
      <c r="Q94" s="41"/>
      <c r="R94" s="46"/>
      <c r="S94" s="46"/>
      <c r="T94" s="46"/>
      <c r="U94" s="46"/>
      <c r="V94" s="79"/>
    </row>
    <row r="95" ht="22.5" customHeight="1">
      <c r="A95" s="46"/>
      <c r="B95" s="8"/>
      <c r="C95" s="47"/>
      <c r="D95" s="47"/>
      <c r="E95" s="78"/>
      <c r="F95" s="48"/>
      <c r="G95" s="46"/>
      <c r="H95" s="8"/>
      <c r="I95" s="46"/>
      <c r="J95" s="47"/>
      <c r="K95" s="47"/>
      <c r="L95" s="47"/>
      <c r="M95" s="48"/>
      <c r="N95" s="48"/>
      <c r="O95" s="48"/>
      <c r="P95" s="46"/>
      <c r="Q95" s="41"/>
      <c r="R95" s="46"/>
      <c r="S95" s="46"/>
      <c r="T95" s="46"/>
      <c r="U95" s="46"/>
      <c r="V95" s="79"/>
    </row>
    <row r="96" ht="22.5" customHeight="1">
      <c r="A96" s="46"/>
      <c r="B96" s="8"/>
      <c r="C96" s="47"/>
      <c r="D96" s="47"/>
      <c r="E96" s="78"/>
      <c r="F96" s="48"/>
      <c r="G96" s="46"/>
      <c r="H96" s="8"/>
      <c r="I96" s="46"/>
      <c r="J96" s="47"/>
      <c r="K96" s="47"/>
      <c r="L96" s="47"/>
      <c r="M96" s="48"/>
      <c r="N96" s="48"/>
      <c r="O96" s="48"/>
      <c r="P96" s="46"/>
      <c r="Q96" s="41"/>
      <c r="R96" s="46"/>
      <c r="S96" s="46"/>
      <c r="T96" s="46"/>
      <c r="U96" s="46"/>
      <c r="V96" s="79"/>
    </row>
    <row r="97" ht="22.5" customHeight="1">
      <c r="A97" s="46"/>
      <c r="B97" s="8"/>
      <c r="C97" s="47"/>
      <c r="D97" s="47"/>
      <c r="E97" s="78"/>
      <c r="F97" s="48"/>
      <c r="G97" s="46"/>
      <c r="H97" s="8"/>
      <c r="I97" s="46"/>
      <c r="J97" s="47"/>
      <c r="K97" s="47"/>
      <c r="L97" s="47"/>
      <c r="M97" s="48"/>
      <c r="N97" s="48"/>
      <c r="O97" s="48"/>
      <c r="P97" s="46"/>
      <c r="Q97" s="41"/>
      <c r="R97" s="46"/>
      <c r="S97" s="46"/>
      <c r="T97" s="46"/>
      <c r="U97" s="46"/>
      <c r="V97" s="79"/>
    </row>
    <row r="98" ht="22.5" customHeight="1">
      <c r="A98" s="46"/>
      <c r="B98" s="8"/>
      <c r="C98" s="47"/>
      <c r="D98" s="47"/>
      <c r="E98" s="78"/>
      <c r="F98" s="48"/>
      <c r="G98" s="46"/>
      <c r="H98" s="8"/>
      <c r="I98" s="46"/>
      <c r="J98" s="47"/>
      <c r="K98" s="47"/>
      <c r="L98" s="47"/>
      <c r="M98" s="48"/>
      <c r="N98" s="48"/>
      <c r="O98" s="48"/>
      <c r="P98" s="46"/>
      <c r="Q98" s="41"/>
      <c r="R98" s="46"/>
      <c r="S98" s="46"/>
      <c r="T98" s="46"/>
      <c r="U98" s="46"/>
      <c r="V98" s="79"/>
    </row>
    <row r="99" ht="22.5" customHeight="1">
      <c r="A99" s="46"/>
      <c r="B99" s="8"/>
      <c r="C99" s="47"/>
      <c r="D99" s="47"/>
      <c r="E99" s="78"/>
      <c r="F99" s="48"/>
      <c r="G99" s="46"/>
      <c r="H99" s="8"/>
      <c r="I99" s="46"/>
      <c r="J99" s="47"/>
      <c r="K99" s="47"/>
      <c r="L99" s="47"/>
      <c r="M99" s="48"/>
      <c r="N99" s="48"/>
      <c r="O99" s="48"/>
      <c r="P99" s="46"/>
      <c r="Q99" s="41"/>
      <c r="R99" s="46"/>
      <c r="S99" s="46"/>
      <c r="T99" s="46"/>
      <c r="U99" s="46"/>
      <c r="V99" s="79"/>
    </row>
    <row r="100" ht="22.5" customHeight="1">
      <c r="A100" s="46"/>
      <c r="B100" s="8"/>
      <c r="C100" s="47"/>
      <c r="D100" s="47"/>
      <c r="E100" s="78"/>
      <c r="F100" s="48"/>
      <c r="G100" s="46"/>
      <c r="H100" s="8"/>
      <c r="I100" s="46"/>
      <c r="J100" s="47"/>
      <c r="K100" s="47"/>
      <c r="L100" s="47"/>
      <c r="M100" s="48"/>
      <c r="N100" s="48"/>
      <c r="O100" s="48"/>
      <c r="P100" s="46"/>
      <c r="Q100" s="41"/>
      <c r="R100" s="46"/>
      <c r="S100" s="46"/>
      <c r="T100" s="46"/>
      <c r="U100" s="46"/>
      <c r="V100" s="79"/>
    </row>
    <row r="101" ht="22.5" customHeight="1">
      <c r="A101" s="46"/>
      <c r="B101" s="8"/>
      <c r="C101" s="47"/>
      <c r="D101" s="47"/>
      <c r="E101" s="78"/>
      <c r="F101" s="48"/>
      <c r="G101" s="46"/>
      <c r="H101" s="8"/>
      <c r="I101" s="46"/>
      <c r="J101" s="47"/>
      <c r="K101" s="47"/>
      <c r="L101" s="47"/>
      <c r="M101" s="48"/>
      <c r="N101" s="48"/>
      <c r="O101" s="48"/>
      <c r="P101" s="46"/>
      <c r="Q101" s="41"/>
      <c r="R101" s="46"/>
      <c r="S101" s="46"/>
      <c r="T101" s="46"/>
      <c r="U101" s="46"/>
      <c r="V101" s="79"/>
    </row>
    <row r="102" ht="22.5" customHeight="1">
      <c r="A102" s="46"/>
      <c r="B102" s="8"/>
      <c r="C102" s="47"/>
      <c r="D102" s="47"/>
      <c r="E102" s="78"/>
      <c r="F102" s="48"/>
      <c r="G102" s="46"/>
      <c r="H102" s="46"/>
      <c r="I102" s="46"/>
      <c r="J102" s="47"/>
      <c r="K102" s="47"/>
      <c r="L102" s="47"/>
      <c r="M102" s="48"/>
      <c r="N102" s="48"/>
      <c r="O102" s="48"/>
      <c r="P102" s="46"/>
      <c r="Q102" s="41"/>
      <c r="R102" s="46"/>
      <c r="S102" s="46"/>
      <c r="T102" s="46"/>
      <c r="U102" s="46"/>
      <c r="V102" s="79"/>
    </row>
    <row r="103" ht="22.5" customHeight="1">
      <c r="A103" s="46"/>
      <c r="B103" s="8"/>
      <c r="C103" s="47"/>
      <c r="D103" s="47"/>
      <c r="E103" s="78"/>
      <c r="F103" s="48"/>
      <c r="G103" s="46"/>
      <c r="H103" s="8"/>
      <c r="I103" s="46"/>
      <c r="J103" s="47"/>
      <c r="K103" s="47"/>
      <c r="L103" s="47"/>
      <c r="M103" s="48"/>
      <c r="N103" s="48"/>
      <c r="O103" s="48"/>
      <c r="P103" s="46"/>
      <c r="Q103" s="41"/>
      <c r="R103" s="46"/>
      <c r="S103" s="46"/>
      <c r="T103" s="46"/>
      <c r="U103" s="46"/>
      <c r="V103" s="79"/>
    </row>
    <row r="104" ht="22.5" customHeight="1">
      <c r="A104" s="46"/>
      <c r="B104" s="8"/>
      <c r="C104" s="47"/>
      <c r="D104" s="47"/>
      <c r="E104" s="78"/>
      <c r="F104" s="48"/>
      <c r="G104" s="8"/>
      <c r="H104" s="8"/>
      <c r="I104" s="46"/>
      <c r="J104" s="47"/>
      <c r="K104" s="47"/>
      <c r="L104" s="47"/>
      <c r="M104" s="48"/>
      <c r="N104" s="48"/>
      <c r="O104" s="48"/>
      <c r="P104" s="46"/>
      <c r="Q104" s="41"/>
      <c r="R104" s="46"/>
      <c r="S104" s="46"/>
      <c r="T104" s="46"/>
      <c r="U104" s="46"/>
      <c r="V104" s="79"/>
    </row>
    <row r="105" ht="22.5" customHeight="1">
      <c r="A105" s="46"/>
      <c r="B105" s="8"/>
      <c r="C105" s="47"/>
      <c r="D105" s="47"/>
      <c r="E105" s="78"/>
      <c r="F105" s="48"/>
      <c r="G105" s="46"/>
      <c r="H105" s="8"/>
      <c r="I105" s="46"/>
      <c r="J105" s="47"/>
      <c r="K105" s="47"/>
      <c r="L105" s="47"/>
      <c r="M105" s="48"/>
      <c r="N105" s="48"/>
      <c r="O105" s="48"/>
      <c r="P105" s="46"/>
      <c r="Q105" s="41"/>
      <c r="R105" s="46"/>
      <c r="S105" s="46"/>
      <c r="T105" s="46"/>
      <c r="U105" s="46"/>
      <c r="V105" s="79"/>
    </row>
    <row r="106" ht="22.5" customHeight="1">
      <c r="A106" s="46"/>
      <c r="B106" s="8"/>
      <c r="C106" s="47"/>
      <c r="D106" s="47"/>
      <c r="E106" s="78"/>
      <c r="F106" s="48"/>
      <c r="G106" s="46"/>
      <c r="H106" s="8"/>
      <c r="I106" s="46"/>
      <c r="J106" s="47"/>
      <c r="K106" s="47"/>
      <c r="L106" s="47"/>
      <c r="M106" s="48"/>
      <c r="N106" s="48"/>
      <c r="O106" s="48"/>
      <c r="P106" s="46"/>
      <c r="Q106" s="41"/>
      <c r="R106" s="46"/>
      <c r="S106" s="46"/>
      <c r="T106" s="46"/>
      <c r="U106" s="46"/>
      <c r="V106" s="79"/>
    </row>
    <row r="107" ht="22.5" customHeight="1">
      <c r="A107" s="46"/>
      <c r="B107" s="8"/>
      <c r="C107" s="47"/>
      <c r="D107" s="47"/>
      <c r="E107" s="78"/>
      <c r="F107" s="48"/>
      <c r="G107" s="46"/>
      <c r="H107" s="8"/>
      <c r="I107" s="46"/>
      <c r="J107" s="47"/>
      <c r="K107" s="47"/>
      <c r="L107" s="47"/>
      <c r="M107" s="48"/>
      <c r="N107" s="48"/>
      <c r="O107" s="48"/>
      <c r="P107" s="46"/>
      <c r="Q107" s="41"/>
      <c r="R107" s="46"/>
      <c r="S107" s="46"/>
      <c r="T107" s="46"/>
      <c r="U107" s="46"/>
      <c r="V107" s="79"/>
    </row>
    <row r="108" ht="22.5" customHeight="1">
      <c r="A108" s="46"/>
      <c r="B108" s="8"/>
      <c r="C108" s="47"/>
      <c r="D108" s="47"/>
      <c r="E108" s="78"/>
      <c r="F108" s="48"/>
      <c r="G108" s="46"/>
      <c r="H108" s="8"/>
      <c r="I108" s="46"/>
      <c r="J108" s="47"/>
      <c r="K108" s="47"/>
      <c r="L108" s="47"/>
      <c r="M108" s="48"/>
      <c r="N108" s="48"/>
      <c r="O108" s="48"/>
      <c r="P108" s="46"/>
      <c r="Q108" s="41"/>
      <c r="R108" s="46"/>
      <c r="S108" s="46"/>
      <c r="T108" s="46"/>
      <c r="U108" s="46"/>
      <c r="V108" s="79"/>
    </row>
    <row r="109" ht="22.5" customHeight="1">
      <c r="A109" s="46"/>
      <c r="B109" s="8"/>
      <c r="C109" s="47"/>
      <c r="D109" s="47"/>
      <c r="E109" s="78"/>
      <c r="F109" s="48"/>
      <c r="G109" s="46"/>
      <c r="H109" s="8"/>
      <c r="I109" s="46"/>
      <c r="J109" s="47"/>
      <c r="K109" s="47"/>
      <c r="L109" s="47"/>
      <c r="M109" s="48"/>
      <c r="N109" s="48"/>
      <c r="O109" s="48"/>
      <c r="P109" s="46"/>
      <c r="Q109" s="41"/>
      <c r="R109" s="46"/>
      <c r="S109" s="46"/>
      <c r="T109" s="46"/>
      <c r="U109" s="46"/>
      <c r="V109" s="79"/>
    </row>
    <row r="110" ht="22.5" customHeight="1">
      <c r="A110" s="46"/>
      <c r="B110" s="8"/>
      <c r="C110" s="47"/>
      <c r="D110" s="47"/>
      <c r="E110" s="78"/>
      <c r="F110" s="48"/>
      <c r="G110" s="46"/>
      <c r="H110" s="8"/>
      <c r="I110" s="46"/>
      <c r="J110" s="47"/>
      <c r="K110" s="47"/>
      <c r="L110" s="47"/>
      <c r="M110" s="48"/>
      <c r="N110" s="48"/>
      <c r="O110" s="48"/>
      <c r="P110" s="46"/>
      <c r="Q110" s="41"/>
      <c r="R110" s="46"/>
      <c r="S110" s="46"/>
      <c r="T110" s="46"/>
      <c r="U110" s="46"/>
      <c r="V110" s="79"/>
    </row>
    <row r="111" ht="22.5" customHeight="1">
      <c r="A111" s="46"/>
      <c r="B111" s="8"/>
      <c r="C111" s="47"/>
      <c r="D111" s="47"/>
      <c r="E111" s="78"/>
      <c r="F111" s="48"/>
      <c r="G111" s="46"/>
      <c r="H111" s="8"/>
      <c r="I111" s="46"/>
      <c r="J111" s="47"/>
      <c r="K111" s="47"/>
      <c r="L111" s="47"/>
      <c r="M111" s="48"/>
      <c r="N111" s="48"/>
      <c r="O111" s="48"/>
      <c r="P111" s="46"/>
      <c r="Q111" s="41"/>
      <c r="R111" s="46"/>
      <c r="S111" s="46"/>
      <c r="T111" s="46"/>
      <c r="U111" s="46"/>
      <c r="V111" s="79"/>
    </row>
    <row r="112" ht="22.5" customHeight="1">
      <c r="A112" s="46"/>
      <c r="B112" s="8"/>
      <c r="C112" s="47"/>
      <c r="D112" s="47"/>
      <c r="E112" s="78"/>
      <c r="F112" s="48"/>
      <c r="G112" s="46"/>
      <c r="H112" s="8"/>
      <c r="I112" s="46"/>
      <c r="J112" s="47"/>
      <c r="K112" s="47"/>
      <c r="L112" s="47"/>
      <c r="M112" s="48"/>
      <c r="N112" s="48"/>
      <c r="O112" s="48"/>
      <c r="P112" s="46"/>
      <c r="Q112" s="41"/>
      <c r="R112" s="46"/>
      <c r="S112" s="46"/>
      <c r="T112" s="46"/>
      <c r="U112" s="46"/>
      <c r="V112" s="79"/>
    </row>
    <row r="113" ht="22.5" customHeight="1">
      <c r="A113" s="46"/>
      <c r="B113" s="8"/>
      <c r="C113" s="47"/>
      <c r="D113" s="47"/>
      <c r="E113" s="78"/>
      <c r="F113" s="48"/>
      <c r="G113" s="46"/>
      <c r="H113" s="8"/>
      <c r="I113" s="46"/>
      <c r="J113" s="47"/>
      <c r="K113" s="47"/>
      <c r="L113" s="47"/>
      <c r="M113" s="48"/>
      <c r="N113" s="48"/>
      <c r="O113" s="48"/>
      <c r="P113" s="46"/>
      <c r="Q113" s="41"/>
      <c r="R113" s="46"/>
      <c r="S113" s="46"/>
      <c r="T113" s="46"/>
      <c r="U113" s="46"/>
      <c r="V113" s="79"/>
    </row>
    <row r="114" ht="22.5" customHeight="1">
      <c r="A114" s="46"/>
      <c r="B114" s="8"/>
      <c r="C114" s="47"/>
      <c r="D114" s="47"/>
      <c r="E114" s="78"/>
      <c r="F114" s="48"/>
      <c r="G114" s="46"/>
      <c r="H114" s="8"/>
      <c r="I114" s="46"/>
      <c r="J114" s="47"/>
      <c r="K114" s="47"/>
      <c r="L114" s="47"/>
      <c r="M114" s="48"/>
      <c r="N114" s="48"/>
      <c r="O114" s="48"/>
      <c r="P114" s="46"/>
      <c r="Q114" s="41"/>
      <c r="R114" s="46"/>
      <c r="S114" s="46"/>
      <c r="T114" s="46"/>
      <c r="U114" s="46"/>
      <c r="V114" s="79"/>
    </row>
    <row r="115" ht="22.5" customHeight="1">
      <c r="A115" s="46"/>
      <c r="B115" s="8"/>
      <c r="C115" s="47"/>
      <c r="D115" s="47"/>
      <c r="E115" s="78"/>
      <c r="F115" s="48"/>
      <c r="G115" s="46"/>
      <c r="H115" s="8"/>
      <c r="I115" s="46"/>
      <c r="J115" s="47"/>
      <c r="K115" s="47"/>
      <c r="L115" s="47"/>
      <c r="M115" s="48"/>
      <c r="N115" s="48"/>
      <c r="O115" s="48"/>
      <c r="P115" s="46"/>
      <c r="Q115" s="41"/>
      <c r="R115" s="46"/>
      <c r="S115" s="46"/>
      <c r="T115" s="46"/>
      <c r="U115" s="46"/>
      <c r="V115" s="79"/>
    </row>
    <row r="116" ht="22.5" customHeight="1">
      <c r="A116" s="46"/>
      <c r="B116" s="8"/>
      <c r="C116" s="47"/>
      <c r="D116" s="47"/>
      <c r="E116" s="78"/>
      <c r="F116" s="48"/>
      <c r="G116" s="46"/>
      <c r="H116" s="8"/>
      <c r="I116" s="46"/>
      <c r="J116" s="47"/>
      <c r="K116" s="47"/>
      <c r="L116" s="47"/>
      <c r="M116" s="48"/>
      <c r="N116" s="48"/>
      <c r="O116" s="48"/>
      <c r="P116" s="46"/>
      <c r="Q116" s="41"/>
      <c r="R116" s="46"/>
      <c r="S116" s="46"/>
      <c r="T116" s="46"/>
      <c r="U116" s="46"/>
      <c r="V116" s="79"/>
    </row>
    <row r="117" ht="22.5" customHeight="1">
      <c r="A117" s="46"/>
      <c r="B117" s="8"/>
      <c r="C117" s="47"/>
      <c r="D117" s="47"/>
      <c r="E117" s="78"/>
      <c r="F117" s="48"/>
      <c r="G117" s="46"/>
      <c r="H117" s="8"/>
      <c r="I117" s="46"/>
      <c r="J117" s="47"/>
      <c r="K117" s="47"/>
      <c r="L117" s="47"/>
      <c r="M117" s="48"/>
      <c r="N117" s="48"/>
      <c r="O117" s="48"/>
      <c r="P117" s="46"/>
      <c r="Q117" s="41"/>
      <c r="R117" s="46"/>
      <c r="S117" s="46"/>
      <c r="T117" s="46"/>
      <c r="U117" s="46"/>
      <c r="V117" s="79"/>
    </row>
    <row r="118" ht="22.5" customHeight="1">
      <c r="A118" s="46"/>
      <c r="B118" s="8"/>
      <c r="C118" s="47"/>
      <c r="D118" s="47"/>
      <c r="E118" s="78"/>
      <c r="F118" s="48"/>
      <c r="G118" s="46"/>
      <c r="H118" s="8"/>
      <c r="I118" s="46"/>
      <c r="J118" s="47"/>
      <c r="K118" s="47"/>
      <c r="L118" s="47"/>
      <c r="M118" s="48"/>
      <c r="N118" s="48"/>
      <c r="O118" s="48"/>
      <c r="P118" s="46"/>
      <c r="Q118" s="41"/>
      <c r="R118" s="46"/>
      <c r="S118" s="46"/>
      <c r="T118" s="46"/>
      <c r="U118" s="46"/>
      <c r="V118" s="79"/>
    </row>
    <row r="119" ht="22.5" customHeight="1">
      <c r="A119" s="46"/>
      <c r="B119" s="8"/>
      <c r="C119" s="47"/>
      <c r="D119" s="47"/>
      <c r="E119" s="78"/>
      <c r="F119" s="48"/>
      <c r="G119" s="46"/>
      <c r="H119" s="8"/>
      <c r="I119" s="46"/>
      <c r="J119" s="47"/>
      <c r="K119" s="47"/>
      <c r="L119" s="47"/>
      <c r="M119" s="48"/>
      <c r="N119" s="48"/>
      <c r="O119" s="48"/>
      <c r="P119" s="46"/>
      <c r="Q119" s="41"/>
      <c r="R119" s="46"/>
      <c r="S119" s="46"/>
      <c r="T119" s="46"/>
      <c r="U119" s="46"/>
      <c r="V119" s="79"/>
    </row>
    <row r="120" ht="22.5" customHeight="1">
      <c r="A120" s="46"/>
      <c r="B120" s="8"/>
      <c r="C120" s="47"/>
      <c r="D120" s="47"/>
      <c r="E120" s="78"/>
      <c r="F120" s="48"/>
      <c r="G120" s="46"/>
      <c r="H120" s="8"/>
      <c r="I120" s="46"/>
      <c r="J120" s="47"/>
      <c r="K120" s="47"/>
      <c r="L120" s="47"/>
      <c r="M120" s="48"/>
      <c r="N120" s="48"/>
      <c r="O120" s="48"/>
      <c r="P120" s="46"/>
      <c r="Q120" s="41"/>
      <c r="R120" s="46"/>
      <c r="S120" s="46"/>
      <c r="T120" s="46"/>
      <c r="U120" s="46"/>
      <c r="V120" s="79"/>
    </row>
    <row r="121" ht="22.5" customHeight="1">
      <c r="A121" s="46"/>
      <c r="B121" s="8"/>
      <c r="C121" s="47"/>
      <c r="D121" s="47"/>
      <c r="E121" s="78"/>
      <c r="F121" s="48"/>
      <c r="G121" s="46"/>
      <c r="H121" s="8"/>
      <c r="I121" s="46"/>
      <c r="J121" s="47"/>
      <c r="K121" s="47"/>
      <c r="L121" s="47"/>
      <c r="M121" s="48"/>
      <c r="N121" s="48"/>
      <c r="O121" s="48"/>
      <c r="P121" s="46"/>
      <c r="Q121" s="41"/>
      <c r="R121" s="46"/>
      <c r="S121" s="46"/>
      <c r="T121" s="46"/>
      <c r="U121" s="46"/>
      <c r="V121" s="79"/>
    </row>
    <row r="122" ht="22.5" customHeight="1">
      <c r="A122" s="46"/>
      <c r="B122" s="8"/>
      <c r="C122" s="47"/>
      <c r="D122" s="47"/>
      <c r="E122" s="78"/>
      <c r="F122" s="48"/>
      <c r="G122" s="46"/>
      <c r="H122" s="8"/>
      <c r="I122" s="46"/>
      <c r="J122" s="47"/>
      <c r="K122" s="47"/>
      <c r="L122" s="47"/>
      <c r="M122" s="48"/>
      <c r="N122" s="48"/>
      <c r="O122" s="48"/>
      <c r="P122" s="46"/>
      <c r="Q122" s="41"/>
      <c r="R122" s="46"/>
      <c r="S122" s="46"/>
      <c r="T122" s="46"/>
      <c r="U122" s="46"/>
      <c r="V122" s="79"/>
    </row>
    <row r="123" ht="22.5" customHeight="1">
      <c r="A123" s="46"/>
      <c r="B123" s="8"/>
      <c r="C123" s="47"/>
      <c r="D123" s="47"/>
      <c r="E123" s="78"/>
      <c r="F123" s="48"/>
      <c r="G123" s="46"/>
      <c r="H123" s="8"/>
      <c r="I123" s="46"/>
      <c r="J123" s="47"/>
      <c r="K123" s="47"/>
      <c r="L123" s="47"/>
      <c r="M123" s="48"/>
      <c r="N123" s="48"/>
      <c r="O123" s="48"/>
      <c r="P123" s="46"/>
      <c r="Q123" s="41"/>
      <c r="R123" s="46"/>
      <c r="S123" s="46"/>
      <c r="T123" s="46"/>
      <c r="U123" s="46"/>
      <c r="V123" s="79"/>
    </row>
    <row r="124" ht="22.5" customHeight="1">
      <c r="A124" s="46"/>
      <c r="B124" s="8"/>
      <c r="C124" s="47"/>
      <c r="D124" s="47"/>
      <c r="E124" s="78"/>
      <c r="F124" s="48"/>
      <c r="G124" s="46"/>
      <c r="H124" s="8"/>
      <c r="I124" s="46"/>
      <c r="J124" s="47"/>
      <c r="K124" s="47"/>
      <c r="L124" s="47"/>
      <c r="M124" s="48"/>
      <c r="N124" s="48"/>
      <c r="O124" s="48"/>
      <c r="P124" s="46"/>
      <c r="Q124" s="41"/>
      <c r="R124" s="46"/>
      <c r="S124" s="46"/>
      <c r="T124" s="46"/>
      <c r="U124" s="46"/>
      <c r="V124" s="79"/>
    </row>
    <row r="125" ht="22.5" customHeight="1">
      <c r="A125" s="46"/>
      <c r="B125" s="8"/>
      <c r="C125" s="47"/>
      <c r="D125" s="47"/>
      <c r="E125" s="78"/>
      <c r="F125" s="48"/>
      <c r="G125" s="46"/>
      <c r="H125" s="8"/>
      <c r="I125" s="46"/>
      <c r="J125" s="47"/>
      <c r="K125" s="47"/>
      <c r="L125" s="47"/>
      <c r="M125" s="48"/>
      <c r="N125" s="48"/>
      <c r="O125" s="48"/>
      <c r="P125" s="46"/>
      <c r="Q125" s="41"/>
      <c r="R125" s="46"/>
      <c r="S125" s="46"/>
      <c r="T125" s="46"/>
      <c r="U125" s="46"/>
      <c r="V125" s="79"/>
    </row>
    <row r="126" ht="22.5" customHeight="1">
      <c r="A126" s="46"/>
      <c r="B126" s="8"/>
      <c r="C126" s="47"/>
      <c r="D126" s="47"/>
      <c r="E126" s="78"/>
      <c r="F126" s="48"/>
      <c r="G126" s="46"/>
      <c r="H126" s="8"/>
      <c r="I126" s="46"/>
      <c r="J126" s="47"/>
      <c r="K126" s="47"/>
      <c r="L126" s="47"/>
      <c r="M126" s="48"/>
      <c r="N126" s="48"/>
      <c r="O126" s="48"/>
      <c r="P126" s="46"/>
      <c r="Q126" s="41"/>
      <c r="R126" s="46"/>
      <c r="S126" s="46"/>
      <c r="T126" s="46"/>
      <c r="U126" s="46"/>
      <c r="V126" s="79"/>
    </row>
    <row r="127" ht="22.5" customHeight="1">
      <c r="A127" s="46"/>
      <c r="B127" s="8"/>
      <c r="C127" s="47"/>
      <c r="D127" s="47"/>
      <c r="E127" s="78"/>
      <c r="F127" s="48"/>
      <c r="G127" s="46"/>
      <c r="H127" s="8"/>
      <c r="I127" s="46"/>
      <c r="J127" s="47"/>
      <c r="K127" s="47"/>
      <c r="L127" s="47"/>
      <c r="M127" s="48"/>
      <c r="N127" s="48"/>
      <c r="O127" s="48"/>
      <c r="P127" s="46"/>
      <c r="Q127" s="41"/>
      <c r="R127" s="46"/>
      <c r="S127" s="46"/>
      <c r="T127" s="46"/>
      <c r="U127" s="46"/>
      <c r="V127" s="79"/>
    </row>
    <row r="128" ht="22.5" customHeight="1">
      <c r="A128" s="46"/>
      <c r="B128" s="8"/>
      <c r="C128" s="47"/>
      <c r="D128" s="47"/>
      <c r="E128" s="78"/>
      <c r="F128" s="48"/>
      <c r="G128" s="46"/>
      <c r="H128" s="8"/>
      <c r="I128" s="46"/>
      <c r="J128" s="47"/>
      <c r="K128" s="47"/>
      <c r="L128" s="47"/>
      <c r="M128" s="48"/>
      <c r="N128" s="48"/>
      <c r="O128" s="48"/>
      <c r="P128" s="46"/>
      <c r="Q128" s="41"/>
      <c r="R128" s="46"/>
      <c r="S128" s="46"/>
      <c r="T128" s="46"/>
      <c r="U128" s="46"/>
      <c r="V128" s="79"/>
    </row>
    <row r="129" ht="22.5" customHeight="1">
      <c r="A129" s="46"/>
      <c r="B129" s="8"/>
      <c r="C129" s="47"/>
      <c r="D129" s="47"/>
      <c r="E129" s="78"/>
      <c r="F129" s="48"/>
      <c r="G129" s="46"/>
      <c r="H129" s="8"/>
      <c r="I129" s="46"/>
      <c r="J129" s="47"/>
      <c r="K129" s="47"/>
      <c r="L129" s="47"/>
      <c r="M129" s="48"/>
      <c r="N129" s="48"/>
      <c r="O129" s="48"/>
      <c r="P129" s="46"/>
      <c r="Q129" s="41"/>
      <c r="R129" s="46"/>
      <c r="S129" s="46"/>
      <c r="T129" s="46"/>
      <c r="U129" s="46"/>
      <c r="V129" s="79"/>
    </row>
    <row r="130" ht="22.5" customHeight="1">
      <c r="A130" s="46"/>
      <c r="B130" s="8"/>
      <c r="C130" s="47"/>
      <c r="D130" s="47"/>
      <c r="E130" s="78"/>
      <c r="F130" s="48"/>
      <c r="G130" s="46"/>
      <c r="H130" s="8"/>
      <c r="I130" s="46"/>
      <c r="J130" s="47"/>
      <c r="K130" s="47"/>
      <c r="L130" s="47"/>
      <c r="M130" s="48"/>
      <c r="N130" s="48"/>
      <c r="O130" s="48"/>
      <c r="P130" s="46"/>
      <c r="Q130" s="41"/>
      <c r="R130" s="46"/>
      <c r="S130" s="46"/>
      <c r="T130" s="46"/>
      <c r="U130" s="46"/>
      <c r="V130" s="79"/>
    </row>
    <row r="131" ht="22.5" customHeight="1">
      <c r="A131" s="46"/>
      <c r="B131" s="8"/>
      <c r="C131" s="47"/>
      <c r="D131" s="47"/>
      <c r="E131" s="78"/>
      <c r="F131" s="48"/>
      <c r="G131" s="46"/>
      <c r="H131" s="8"/>
      <c r="I131" s="46"/>
      <c r="J131" s="47"/>
      <c r="K131" s="47"/>
      <c r="L131" s="47"/>
      <c r="M131" s="48"/>
      <c r="N131" s="48"/>
      <c r="O131" s="48"/>
      <c r="P131" s="46"/>
      <c r="Q131" s="41"/>
      <c r="R131" s="46"/>
      <c r="S131" s="46"/>
      <c r="T131" s="46"/>
      <c r="U131" s="46"/>
      <c r="V131" s="79"/>
    </row>
    <row r="132" ht="22.5" customHeight="1">
      <c r="A132" s="46"/>
      <c r="B132" s="8"/>
      <c r="C132" s="47"/>
      <c r="D132" s="47"/>
      <c r="E132" s="78"/>
      <c r="F132" s="48"/>
      <c r="G132" s="46"/>
      <c r="H132" s="8"/>
      <c r="I132" s="46"/>
      <c r="J132" s="47"/>
      <c r="K132" s="47"/>
      <c r="L132" s="47"/>
      <c r="M132" s="48"/>
      <c r="N132" s="48"/>
      <c r="O132" s="48"/>
      <c r="P132" s="46"/>
      <c r="Q132" s="41"/>
      <c r="R132" s="46"/>
      <c r="S132" s="46"/>
      <c r="T132" s="46"/>
      <c r="U132" s="46"/>
      <c r="V132" s="79"/>
    </row>
    <row r="133" ht="22.5" customHeight="1">
      <c r="A133" s="46"/>
      <c r="B133" s="8"/>
      <c r="C133" s="47"/>
      <c r="D133" s="47"/>
      <c r="E133" s="78"/>
      <c r="F133" s="48"/>
      <c r="G133" s="46"/>
      <c r="H133" s="8"/>
      <c r="I133" s="46"/>
      <c r="J133" s="47"/>
      <c r="K133" s="47"/>
      <c r="L133" s="47"/>
      <c r="M133" s="48"/>
      <c r="N133" s="48"/>
      <c r="O133" s="48"/>
      <c r="P133" s="46"/>
      <c r="Q133" s="41"/>
      <c r="R133" s="46"/>
      <c r="S133" s="46"/>
      <c r="T133" s="46"/>
      <c r="U133" s="46"/>
      <c r="V133" s="79"/>
    </row>
    <row r="134" ht="22.5" customHeight="1">
      <c r="A134" s="46"/>
      <c r="B134" s="8"/>
      <c r="C134" s="47"/>
      <c r="D134" s="47"/>
      <c r="E134" s="78"/>
      <c r="F134" s="48"/>
      <c r="G134" s="46"/>
      <c r="H134" s="8"/>
      <c r="I134" s="46"/>
      <c r="J134" s="47"/>
      <c r="K134" s="47"/>
      <c r="L134" s="47"/>
      <c r="M134" s="48"/>
      <c r="N134" s="48"/>
      <c r="O134" s="48"/>
      <c r="P134" s="46"/>
      <c r="Q134" s="41"/>
      <c r="R134" s="46"/>
      <c r="S134" s="46"/>
      <c r="T134" s="46"/>
      <c r="U134" s="46"/>
      <c r="V134" s="79"/>
    </row>
    <row r="135" ht="22.5" customHeight="1">
      <c r="A135" s="46"/>
      <c r="B135" s="8"/>
      <c r="C135" s="47"/>
      <c r="D135" s="47"/>
      <c r="E135" s="78"/>
      <c r="F135" s="48"/>
      <c r="G135" s="46"/>
      <c r="H135" s="8"/>
      <c r="I135" s="46"/>
      <c r="J135" s="47"/>
      <c r="K135" s="47"/>
      <c r="L135" s="47"/>
      <c r="M135" s="48"/>
      <c r="N135" s="48"/>
      <c r="O135" s="48"/>
      <c r="P135" s="46"/>
      <c r="Q135" s="41"/>
      <c r="R135" s="46"/>
      <c r="S135" s="46"/>
      <c r="T135" s="46"/>
      <c r="U135" s="46"/>
      <c r="V135" s="79"/>
    </row>
    <row r="136" ht="22.5" customHeight="1">
      <c r="A136" s="46"/>
      <c r="B136" s="8"/>
      <c r="C136" s="47"/>
      <c r="D136" s="47"/>
      <c r="E136" s="78"/>
      <c r="F136" s="48"/>
      <c r="G136" s="46"/>
      <c r="H136" s="8"/>
      <c r="I136" s="46"/>
      <c r="J136" s="47"/>
      <c r="K136" s="47"/>
      <c r="L136" s="47"/>
      <c r="M136" s="48"/>
      <c r="N136" s="48"/>
      <c r="O136" s="48"/>
      <c r="P136" s="46"/>
      <c r="Q136" s="41"/>
      <c r="R136" s="46"/>
      <c r="S136" s="46"/>
      <c r="T136" s="46"/>
      <c r="U136" s="46"/>
      <c r="V136" s="79"/>
    </row>
    <row r="137" ht="22.5" customHeight="1">
      <c r="A137" s="46"/>
      <c r="B137" s="8"/>
      <c r="C137" s="47"/>
      <c r="D137" s="47"/>
      <c r="E137" s="78"/>
      <c r="F137" s="48"/>
      <c r="G137" s="46"/>
      <c r="H137" s="8"/>
      <c r="I137" s="46"/>
      <c r="J137" s="47"/>
      <c r="K137" s="47"/>
      <c r="L137" s="47"/>
      <c r="M137" s="48"/>
      <c r="N137" s="48"/>
      <c r="O137" s="48"/>
      <c r="P137" s="46"/>
      <c r="Q137" s="41"/>
      <c r="R137" s="46"/>
      <c r="S137" s="46"/>
      <c r="T137" s="46"/>
      <c r="U137" s="46"/>
      <c r="V137" s="79"/>
    </row>
    <row r="138" ht="22.5" customHeight="1">
      <c r="A138" s="46"/>
      <c r="B138" s="8"/>
      <c r="C138" s="47"/>
      <c r="D138" s="47"/>
      <c r="E138" s="78"/>
      <c r="F138" s="48"/>
      <c r="G138" s="46"/>
      <c r="H138" s="8"/>
      <c r="I138" s="46"/>
      <c r="J138" s="47"/>
      <c r="K138" s="47"/>
      <c r="L138" s="47"/>
      <c r="M138" s="48"/>
      <c r="N138" s="48"/>
      <c r="O138" s="48"/>
      <c r="P138" s="46"/>
      <c r="Q138" s="41"/>
      <c r="R138" s="46"/>
      <c r="S138" s="46"/>
      <c r="T138" s="46"/>
      <c r="U138" s="46"/>
      <c r="V138" s="79"/>
    </row>
    <row r="139" ht="22.5" customHeight="1">
      <c r="A139" s="46"/>
      <c r="B139" s="8"/>
      <c r="C139" s="47"/>
      <c r="D139" s="47"/>
      <c r="E139" s="78"/>
      <c r="F139" s="48"/>
      <c r="G139" s="46"/>
      <c r="H139" s="8"/>
      <c r="I139" s="46"/>
      <c r="J139" s="47"/>
      <c r="K139" s="47"/>
      <c r="L139" s="47"/>
      <c r="M139" s="48"/>
      <c r="N139" s="48"/>
      <c r="O139" s="48"/>
      <c r="P139" s="46"/>
      <c r="Q139" s="41"/>
      <c r="R139" s="46"/>
      <c r="S139" s="46"/>
      <c r="T139" s="46"/>
      <c r="U139" s="46"/>
      <c r="V139" s="79"/>
    </row>
    <row r="140" ht="22.5" customHeight="1">
      <c r="A140" s="46"/>
      <c r="B140" s="8"/>
      <c r="C140" s="47"/>
      <c r="D140" s="47"/>
      <c r="E140" s="78"/>
      <c r="F140" s="48"/>
      <c r="G140" s="46"/>
      <c r="H140" s="8"/>
      <c r="I140" s="46"/>
      <c r="J140" s="47"/>
      <c r="K140" s="47"/>
      <c r="L140" s="47"/>
      <c r="M140" s="48"/>
      <c r="N140" s="48"/>
      <c r="O140" s="48"/>
      <c r="P140" s="46"/>
      <c r="Q140" s="41"/>
      <c r="R140" s="46"/>
      <c r="S140" s="46"/>
      <c r="T140" s="46"/>
      <c r="U140" s="46"/>
      <c r="V140" s="79"/>
    </row>
    <row r="141" ht="22.5" customHeight="1">
      <c r="A141" s="46"/>
      <c r="B141" s="8"/>
      <c r="C141" s="47"/>
      <c r="D141" s="47"/>
      <c r="E141" s="78"/>
      <c r="F141" s="48"/>
      <c r="G141" s="46"/>
      <c r="H141" s="8"/>
      <c r="I141" s="46"/>
      <c r="J141" s="47"/>
      <c r="K141" s="47"/>
      <c r="L141" s="47"/>
      <c r="M141" s="48"/>
      <c r="N141" s="48"/>
      <c r="O141" s="48"/>
      <c r="P141" s="46"/>
      <c r="Q141" s="41"/>
      <c r="R141" s="46"/>
      <c r="S141" s="46"/>
      <c r="T141" s="46"/>
      <c r="U141" s="46"/>
      <c r="V141" s="79"/>
    </row>
    <row r="142" ht="22.5" customHeight="1">
      <c r="A142" s="46"/>
      <c r="B142" s="8"/>
      <c r="C142" s="47"/>
      <c r="D142" s="47"/>
      <c r="E142" s="78"/>
      <c r="F142" s="48"/>
      <c r="G142" s="46"/>
      <c r="H142" s="8"/>
      <c r="I142" s="46"/>
      <c r="J142" s="47"/>
      <c r="K142" s="47"/>
      <c r="L142" s="47"/>
      <c r="M142" s="48"/>
      <c r="N142" s="48"/>
      <c r="O142" s="48"/>
      <c r="P142" s="46"/>
      <c r="Q142" s="41"/>
      <c r="R142" s="46"/>
      <c r="S142" s="46"/>
      <c r="T142" s="46"/>
      <c r="U142" s="46"/>
      <c r="V142" s="79"/>
    </row>
    <row r="143" ht="22.5" customHeight="1">
      <c r="A143" s="46"/>
      <c r="B143" s="8"/>
      <c r="C143" s="47"/>
      <c r="D143" s="47"/>
      <c r="E143" s="78"/>
      <c r="F143" s="48"/>
      <c r="G143" s="46"/>
      <c r="H143" s="8"/>
      <c r="I143" s="46"/>
      <c r="J143" s="47"/>
      <c r="K143" s="47"/>
      <c r="L143" s="47"/>
      <c r="M143" s="48"/>
      <c r="N143" s="48"/>
      <c r="O143" s="48"/>
      <c r="P143" s="46"/>
      <c r="Q143" s="41"/>
      <c r="R143" s="46"/>
      <c r="S143" s="46"/>
      <c r="T143" s="46"/>
      <c r="U143" s="46"/>
      <c r="V143" s="79"/>
    </row>
    <row r="144" ht="22.5" customHeight="1">
      <c r="A144" s="46"/>
      <c r="B144" s="8"/>
      <c r="C144" s="47"/>
      <c r="D144" s="47"/>
      <c r="E144" s="78"/>
      <c r="F144" s="48"/>
      <c r="G144" s="46"/>
      <c r="H144" s="8"/>
      <c r="I144" s="46"/>
      <c r="J144" s="47"/>
      <c r="K144" s="47"/>
      <c r="L144" s="47"/>
      <c r="M144" s="48"/>
      <c r="N144" s="48"/>
      <c r="O144" s="48"/>
      <c r="P144" s="46"/>
      <c r="Q144" s="41"/>
      <c r="R144" s="46"/>
      <c r="S144" s="46"/>
      <c r="T144" s="46"/>
      <c r="U144" s="46"/>
      <c r="V144" s="79"/>
    </row>
    <row r="145" ht="22.5" customHeight="1">
      <c r="A145" s="46"/>
      <c r="B145" s="8"/>
      <c r="C145" s="47"/>
      <c r="D145" s="47"/>
      <c r="E145" s="78"/>
      <c r="F145" s="48"/>
      <c r="G145" s="46"/>
      <c r="H145" s="8"/>
      <c r="I145" s="46"/>
      <c r="J145" s="47"/>
      <c r="K145" s="47"/>
      <c r="L145" s="47"/>
      <c r="M145" s="48"/>
      <c r="N145" s="48"/>
      <c r="O145" s="48"/>
      <c r="P145" s="46"/>
      <c r="Q145" s="41"/>
      <c r="R145" s="46"/>
      <c r="S145" s="46"/>
      <c r="T145" s="46"/>
      <c r="U145" s="46"/>
      <c r="V145" s="79"/>
    </row>
    <row r="146" ht="22.5" customHeight="1">
      <c r="A146" s="46"/>
      <c r="B146" s="8"/>
      <c r="C146" s="47"/>
      <c r="D146" s="47"/>
      <c r="E146" s="78"/>
      <c r="F146" s="48"/>
      <c r="G146" s="46"/>
      <c r="H146" s="8"/>
      <c r="I146" s="46"/>
      <c r="J146" s="47"/>
      <c r="K146" s="47"/>
      <c r="L146" s="47"/>
      <c r="M146" s="48"/>
      <c r="N146" s="48"/>
      <c r="O146" s="48"/>
      <c r="P146" s="46"/>
      <c r="Q146" s="41"/>
      <c r="R146" s="46"/>
      <c r="S146" s="46"/>
      <c r="T146" s="46"/>
      <c r="U146" s="46"/>
      <c r="V146" s="79"/>
    </row>
    <row r="147" ht="22.5" customHeight="1">
      <c r="A147" s="46"/>
      <c r="B147" s="8"/>
      <c r="C147" s="47"/>
      <c r="D147" s="47"/>
      <c r="E147" s="78"/>
      <c r="F147" s="48"/>
      <c r="G147" s="46"/>
      <c r="H147" s="8"/>
      <c r="I147" s="46"/>
      <c r="J147" s="47"/>
      <c r="K147" s="47"/>
      <c r="L147" s="47"/>
      <c r="M147" s="48"/>
      <c r="N147" s="48"/>
      <c r="O147" s="48"/>
      <c r="P147" s="46"/>
      <c r="Q147" s="41"/>
      <c r="R147" s="46"/>
      <c r="S147" s="46"/>
      <c r="T147" s="46"/>
      <c r="U147" s="46"/>
      <c r="V147" s="79"/>
    </row>
    <row r="148" ht="22.5" customHeight="1">
      <c r="A148" s="46"/>
      <c r="B148" s="8"/>
      <c r="C148" s="47"/>
      <c r="D148" s="47"/>
      <c r="E148" s="78"/>
      <c r="F148" s="48"/>
      <c r="G148" s="46"/>
      <c r="H148" s="8"/>
      <c r="I148" s="46"/>
      <c r="J148" s="47"/>
      <c r="K148" s="47"/>
      <c r="L148" s="47"/>
      <c r="M148" s="48"/>
      <c r="N148" s="48"/>
      <c r="O148" s="48"/>
      <c r="P148" s="46"/>
      <c r="Q148" s="41"/>
      <c r="R148" s="46"/>
      <c r="S148" s="46"/>
      <c r="T148" s="46"/>
      <c r="U148" s="46"/>
      <c r="V148" s="79"/>
    </row>
    <row r="149" ht="22.5" customHeight="1">
      <c r="A149" s="46"/>
      <c r="B149" s="8"/>
      <c r="C149" s="47"/>
      <c r="D149" s="47"/>
      <c r="E149" s="78"/>
      <c r="F149" s="48"/>
      <c r="G149" s="46"/>
      <c r="H149" s="8"/>
      <c r="I149" s="46"/>
      <c r="J149" s="47"/>
      <c r="K149" s="47"/>
      <c r="L149" s="47"/>
      <c r="M149" s="48"/>
      <c r="N149" s="48"/>
      <c r="O149" s="48"/>
      <c r="P149" s="46"/>
      <c r="Q149" s="41"/>
      <c r="R149" s="46"/>
      <c r="S149" s="46"/>
      <c r="T149" s="46"/>
      <c r="U149" s="46"/>
      <c r="V149" s="79"/>
    </row>
    <row r="150" ht="22.5" customHeight="1">
      <c r="A150" s="46"/>
      <c r="B150" s="8"/>
      <c r="C150" s="47"/>
      <c r="D150" s="47"/>
      <c r="E150" s="78"/>
      <c r="F150" s="48"/>
      <c r="G150" s="46"/>
      <c r="H150" s="8"/>
      <c r="I150" s="46"/>
      <c r="J150" s="47"/>
      <c r="K150" s="47"/>
      <c r="L150" s="47"/>
      <c r="M150" s="48"/>
      <c r="N150" s="48"/>
      <c r="O150" s="48"/>
      <c r="P150" s="46"/>
      <c r="Q150" s="41"/>
      <c r="R150" s="46"/>
      <c r="S150" s="46"/>
      <c r="T150" s="46"/>
      <c r="U150" s="46"/>
      <c r="V150" s="79"/>
    </row>
    <row r="151" ht="22.5" customHeight="1">
      <c r="A151" s="46"/>
      <c r="B151" s="8"/>
      <c r="C151" s="47"/>
      <c r="D151" s="47"/>
      <c r="E151" s="78"/>
      <c r="F151" s="48"/>
      <c r="G151" s="46"/>
      <c r="H151" s="8"/>
      <c r="I151" s="46"/>
      <c r="J151" s="47"/>
      <c r="K151" s="47"/>
      <c r="L151" s="47"/>
      <c r="M151" s="48"/>
      <c r="N151" s="48"/>
      <c r="O151" s="48"/>
      <c r="P151" s="46"/>
      <c r="Q151" s="41"/>
      <c r="R151" s="46"/>
      <c r="S151" s="46"/>
      <c r="T151" s="46"/>
      <c r="U151" s="46"/>
      <c r="V151" s="79"/>
    </row>
    <row r="152" ht="22.5" customHeight="1">
      <c r="A152" s="46"/>
      <c r="B152" s="8"/>
      <c r="C152" s="47"/>
      <c r="D152" s="47"/>
      <c r="E152" s="78"/>
      <c r="F152" s="48"/>
      <c r="G152" s="46"/>
      <c r="H152" s="8"/>
      <c r="I152" s="46"/>
      <c r="J152" s="47"/>
      <c r="K152" s="47"/>
      <c r="L152" s="47"/>
      <c r="M152" s="48"/>
      <c r="N152" s="48"/>
      <c r="O152" s="48"/>
      <c r="P152" s="46"/>
      <c r="Q152" s="41"/>
      <c r="R152" s="46"/>
      <c r="S152" s="46"/>
      <c r="T152" s="46"/>
      <c r="U152" s="46"/>
      <c r="V152" s="79"/>
    </row>
    <row r="153" ht="22.5" customHeight="1">
      <c r="A153" s="46"/>
      <c r="B153" s="8"/>
      <c r="C153" s="47"/>
      <c r="D153" s="47"/>
      <c r="E153" s="78"/>
      <c r="F153" s="48"/>
      <c r="G153" s="46"/>
      <c r="H153" s="8"/>
      <c r="I153" s="46"/>
      <c r="J153" s="47"/>
      <c r="K153" s="47"/>
      <c r="L153" s="47"/>
      <c r="M153" s="48"/>
      <c r="N153" s="48"/>
      <c r="O153" s="48"/>
      <c r="P153" s="46"/>
      <c r="Q153" s="41"/>
      <c r="R153" s="46"/>
      <c r="S153" s="46"/>
      <c r="T153" s="46"/>
      <c r="U153" s="46"/>
      <c r="V153" s="79"/>
    </row>
    <row r="154" ht="22.5" customHeight="1">
      <c r="A154" s="46"/>
      <c r="B154" s="8"/>
      <c r="C154" s="47"/>
      <c r="D154" s="47"/>
      <c r="E154" s="78"/>
      <c r="F154" s="48"/>
      <c r="G154" s="8"/>
      <c r="H154" s="8"/>
      <c r="I154" s="46"/>
      <c r="J154" s="47"/>
      <c r="K154" s="47"/>
      <c r="L154" s="47"/>
      <c r="M154" s="48"/>
      <c r="N154" s="48"/>
      <c r="O154" s="48"/>
      <c r="P154" s="46"/>
      <c r="Q154" s="41"/>
      <c r="R154" s="46"/>
      <c r="S154" s="46"/>
      <c r="T154" s="46"/>
      <c r="U154" s="46"/>
      <c r="V154" s="79"/>
    </row>
    <row r="155" ht="22.5" customHeight="1">
      <c r="A155" s="46"/>
      <c r="B155" s="8"/>
      <c r="C155" s="47"/>
      <c r="D155" s="47"/>
      <c r="E155" s="78"/>
      <c r="F155" s="40"/>
      <c r="G155" s="8"/>
      <c r="H155" s="8"/>
      <c r="I155" s="46"/>
      <c r="J155" s="47"/>
      <c r="K155" s="47"/>
      <c r="L155" s="47"/>
      <c r="M155" s="48"/>
      <c r="N155" s="48"/>
      <c r="O155" s="48"/>
      <c r="P155" s="46"/>
      <c r="Q155" s="41"/>
      <c r="R155" s="46"/>
      <c r="S155" s="46"/>
      <c r="T155" s="46"/>
      <c r="U155" s="46"/>
      <c r="V155" s="79"/>
    </row>
    <row r="156" ht="22.5" customHeight="1">
      <c r="A156" s="46"/>
      <c r="B156" s="8"/>
      <c r="C156" s="47"/>
      <c r="D156" s="47"/>
      <c r="E156" s="78"/>
      <c r="F156" s="40"/>
      <c r="G156" s="8"/>
      <c r="H156" s="8"/>
      <c r="I156" s="46"/>
      <c r="J156" s="47"/>
      <c r="K156" s="47"/>
      <c r="L156" s="47"/>
      <c r="M156" s="48"/>
      <c r="N156" s="48"/>
      <c r="O156" s="48"/>
      <c r="P156" s="46"/>
      <c r="Q156" s="41"/>
      <c r="R156" s="46"/>
      <c r="S156" s="46"/>
      <c r="T156" s="46"/>
      <c r="U156" s="46"/>
      <c r="V156" s="79"/>
    </row>
    <row r="157" ht="22.5" customHeight="1">
      <c r="A157" s="46"/>
      <c r="B157" s="8"/>
      <c r="C157" s="47"/>
      <c r="D157" s="47"/>
      <c r="E157" s="78"/>
      <c r="F157" s="40"/>
      <c r="G157" s="8"/>
      <c r="H157" s="8"/>
      <c r="I157" s="46"/>
      <c r="J157" s="47"/>
      <c r="K157" s="47"/>
      <c r="L157" s="47"/>
      <c r="M157" s="48"/>
      <c r="N157" s="48"/>
      <c r="O157" s="48"/>
      <c r="P157" s="46"/>
      <c r="Q157" s="41"/>
      <c r="R157" s="46"/>
      <c r="S157" s="46"/>
      <c r="T157" s="46"/>
      <c r="U157" s="46"/>
      <c r="V157" s="79"/>
    </row>
    <row r="158" ht="22.5" customHeight="1">
      <c r="A158" s="46"/>
      <c r="B158" s="8"/>
      <c r="C158" s="47"/>
      <c r="D158" s="47"/>
      <c r="E158" s="78"/>
      <c r="F158" s="40"/>
      <c r="G158" s="8"/>
      <c r="H158" s="8"/>
      <c r="I158" s="46"/>
      <c r="J158" s="47"/>
      <c r="K158" s="47"/>
      <c r="L158" s="47"/>
      <c r="M158" s="48"/>
      <c r="N158" s="48"/>
      <c r="O158" s="48"/>
      <c r="P158" s="46"/>
      <c r="Q158" s="41"/>
      <c r="R158" s="46"/>
      <c r="S158" s="46"/>
      <c r="T158" s="46"/>
      <c r="U158" s="46"/>
      <c r="V158" s="79"/>
    </row>
    <row r="159" ht="22.5" customHeight="1">
      <c r="A159" s="46"/>
      <c r="B159" s="8"/>
      <c r="C159" s="47"/>
      <c r="D159" s="47"/>
      <c r="E159" s="78"/>
      <c r="F159" s="40"/>
      <c r="G159" s="8"/>
      <c r="H159" s="8"/>
      <c r="I159" s="46"/>
      <c r="J159" s="47"/>
      <c r="K159" s="47"/>
      <c r="L159" s="47"/>
      <c r="M159" s="48"/>
      <c r="N159" s="48"/>
      <c r="O159" s="48"/>
      <c r="P159" s="46"/>
      <c r="Q159" s="41"/>
      <c r="R159" s="46"/>
      <c r="S159" s="46"/>
      <c r="T159" s="46"/>
      <c r="U159" s="46"/>
      <c r="V159" s="79"/>
    </row>
    <row r="160" ht="22.5" customHeight="1">
      <c r="A160" s="46"/>
      <c r="B160" s="8"/>
      <c r="C160" s="47"/>
      <c r="D160" s="47"/>
      <c r="E160" s="78"/>
      <c r="F160" s="40"/>
      <c r="G160" s="8"/>
      <c r="H160" s="8"/>
      <c r="I160" s="46"/>
      <c r="J160" s="47"/>
      <c r="K160" s="47"/>
      <c r="L160" s="47"/>
      <c r="M160" s="48"/>
      <c r="N160" s="48"/>
      <c r="O160" s="48"/>
      <c r="P160" s="46"/>
      <c r="Q160" s="41"/>
      <c r="R160" s="46"/>
      <c r="S160" s="46"/>
      <c r="T160" s="46"/>
      <c r="U160" s="46"/>
      <c r="V160" s="79"/>
    </row>
    <row r="161" ht="22.5" customHeight="1">
      <c r="A161" s="46"/>
      <c r="B161" s="8"/>
      <c r="C161" s="47"/>
      <c r="D161" s="47"/>
      <c r="E161" s="78"/>
      <c r="F161" s="40"/>
      <c r="G161" s="8"/>
      <c r="H161" s="8"/>
      <c r="I161" s="46"/>
      <c r="J161" s="47"/>
      <c r="K161" s="47"/>
      <c r="L161" s="47"/>
      <c r="M161" s="48"/>
      <c r="N161" s="40"/>
      <c r="O161" s="40"/>
      <c r="P161" s="46"/>
      <c r="Q161" s="41"/>
      <c r="R161" s="46"/>
      <c r="S161" s="46"/>
      <c r="T161" s="46"/>
      <c r="U161" s="46"/>
      <c r="V161" s="79"/>
    </row>
    <row r="162" ht="22.5" customHeight="1">
      <c r="A162" s="46"/>
      <c r="B162" s="8"/>
      <c r="C162" s="47"/>
      <c r="D162" s="47"/>
      <c r="E162" s="78"/>
      <c r="F162" s="40"/>
      <c r="G162" s="8"/>
      <c r="H162" s="8"/>
      <c r="I162" s="46"/>
      <c r="J162" s="47"/>
      <c r="K162" s="47"/>
      <c r="L162" s="47"/>
      <c r="M162" s="48"/>
      <c r="N162" s="40"/>
      <c r="O162" s="40"/>
      <c r="P162" s="46"/>
      <c r="Q162" s="41"/>
      <c r="R162" s="46"/>
      <c r="S162" s="46"/>
      <c r="T162" s="46"/>
      <c r="U162" s="46"/>
      <c r="V162" s="79"/>
    </row>
    <row r="163" ht="22.5" customHeight="1">
      <c r="A163" s="46"/>
      <c r="B163" s="8"/>
      <c r="C163" s="47"/>
      <c r="D163" s="47"/>
      <c r="E163" s="78"/>
      <c r="F163" s="40"/>
      <c r="G163" s="8"/>
      <c r="H163" s="8"/>
      <c r="I163" s="46"/>
      <c r="J163" s="47"/>
      <c r="K163" s="47"/>
      <c r="L163" s="47"/>
      <c r="M163" s="48"/>
      <c r="N163" s="40"/>
      <c r="O163" s="40"/>
      <c r="P163" s="46"/>
      <c r="Q163" s="41"/>
      <c r="R163" s="46"/>
      <c r="S163" s="46"/>
      <c r="T163" s="46"/>
      <c r="U163" s="46"/>
      <c r="V163" s="79"/>
    </row>
    <row r="164" ht="22.5" customHeight="1">
      <c r="A164" s="50"/>
      <c r="B164" s="50"/>
      <c r="C164" s="51"/>
      <c r="D164" s="51"/>
      <c r="E164" s="80"/>
      <c r="F164" s="52"/>
      <c r="G164" s="50"/>
      <c r="H164" s="50"/>
      <c r="I164" s="50"/>
      <c r="J164" s="51"/>
      <c r="K164" s="51"/>
      <c r="L164" s="51"/>
      <c r="M164" s="52"/>
      <c r="N164" s="52"/>
      <c r="O164" s="52"/>
      <c r="P164" s="50"/>
      <c r="Q164" s="53"/>
      <c r="R164" s="50"/>
      <c r="S164" s="50"/>
      <c r="T164" s="79"/>
      <c r="U164" s="46"/>
      <c r="V164" s="79"/>
    </row>
    <row r="165" ht="22.5" customHeight="1">
      <c r="A165" s="50"/>
      <c r="B165" s="50"/>
      <c r="C165" s="51"/>
      <c r="D165" s="51"/>
      <c r="E165" s="80"/>
      <c r="F165" s="52"/>
      <c r="G165" s="50"/>
      <c r="H165" s="50"/>
      <c r="I165" s="50"/>
      <c r="J165" s="51"/>
      <c r="K165" s="51"/>
      <c r="L165" s="51"/>
      <c r="M165" s="52"/>
      <c r="N165" s="52"/>
      <c r="O165" s="52"/>
      <c r="P165" s="50"/>
      <c r="Q165" s="53"/>
      <c r="R165" s="50"/>
      <c r="S165" s="50"/>
      <c r="T165" s="79"/>
      <c r="U165" s="46"/>
      <c r="V165" s="79"/>
    </row>
    <row r="166" ht="22.5" customHeight="1">
      <c r="A166" s="50"/>
      <c r="B166" s="50"/>
      <c r="C166" s="51"/>
      <c r="D166" s="51"/>
      <c r="E166" s="80"/>
      <c r="F166" s="52"/>
      <c r="G166" s="50"/>
      <c r="H166" s="50"/>
      <c r="I166" s="50"/>
      <c r="J166" s="51"/>
      <c r="K166" s="51"/>
      <c r="L166" s="51"/>
      <c r="M166" s="52"/>
      <c r="N166" s="52"/>
      <c r="O166" s="52"/>
      <c r="P166" s="50"/>
      <c r="Q166" s="53"/>
      <c r="R166" s="50"/>
      <c r="S166" s="50"/>
      <c r="T166" s="79"/>
      <c r="U166" s="46"/>
      <c r="V166" s="79"/>
    </row>
    <row r="167" ht="22.5" customHeight="1">
      <c r="A167" s="50"/>
      <c r="B167" s="50"/>
      <c r="C167" s="51"/>
      <c r="D167" s="51"/>
      <c r="E167" s="80"/>
      <c r="F167" s="52"/>
      <c r="G167" s="50"/>
      <c r="H167" s="50"/>
      <c r="I167" s="50"/>
      <c r="J167" s="51"/>
      <c r="K167" s="51"/>
      <c r="L167" s="51"/>
      <c r="M167" s="52"/>
      <c r="N167" s="52"/>
      <c r="O167" s="52"/>
      <c r="P167" s="50"/>
      <c r="Q167" s="53"/>
      <c r="R167" s="50"/>
      <c r="S167" s="50"/>
      <c r="T167" s="79"/>
      <c r="U167" s="46"/>
      <c r="V167" s="79"/>
    </row>
    <row r="168" ht="22.5" customHeight="1">
      <c r="A168" s="50"/>
      <c r="B168" s="50"/>
      <c r="C168" s="51"/>
      <c r="D168" s="51"/>
      <c r="E168" s="80"/>
      <c r="F168" s="52"/>
      <c r="G168" s="50"/>
      <c r="H168" s="50"/>
      <c r="I168" s="50"/>
      <c r="J168" s="51"/>
      <c r="K168" s="51"/>
      <c r="L168" s="51"/>
      <c r="M168" s="52"/>
      <c r="N168" s="52"/>
      <c r="O168" s="52"/>
      <c r="P168" s="50"/>
      <c r="Q168" s="53"/>
      <c r="R168" s="50"/>
      <c r="S168" s="50"/>
      <c r="T168" s="79"/>
      <c r="U168" s="46"/>
      <c r="V168" s="79"/>
    </row>
    <row r="169" ht="22.5" customHeight="1">
      <c r="A169" s="50"/>
      <c r="B169" s="50"/>
      <c r="C169" s="51"/>
      <c r="D169" s="51"/>
      <c r="E169" s="80"/>
      <c r="F169" s="52"/>
      <c r="G169" s="50"/>
      <c r="H169" s="50"/>
      <c r="I169" s="50"/>
      <c r="J169" s="51"/>
      <c r="K169" s="51"/>
      <c r="L169" s="51"/>
      <c r="M169" s="52"/>
      <c r="N169" s="52"/>
      <c r="O169" s="52"/>
      <c r="P169" s="50"/>
      <c r="Q169" s="53"/>
      <c r="R169" s="50"/>
      <c r="S169" s="50"/>
      <c r="T169" s="79"/>
      <c r="U169" s="46"/>
      <c r="V169" s="79"/>
    </row>
    <row r="170" ht="22.5" customHeight="1">
      <c r="A170" s="50"/>
      <c r="B170" s="50"/>
      <c r="C170" s="51"/>
      <c r="D170" s="51"/>
      <c r="E170" s="80"/>
      <c r="F170" s="52"/>
      <c r="G170" s="50"/>
      <c r="H170" s="50"/>
      <c r="I170" s="50"/>
      <c r="J170" s="51"/>
      <c r="K170" s="51"/>
      <c r="L170" s="51"/>
      <c r="M170" s="52"/>
      <c r="N170" s="52"/>
      <c r="O170" s="52"/>
      <c r="P170" s="50"/>
      <c r="Q170" s="53"/>
      <c r="R170" s="50"/>
      <c r="S170" s="50"/>
      <c r="T170" s="79"/>
      <c r="U170" s="46"/>
      <c r="V170" s="79"/>
    </row>
    <row r="171" ht="22.5" customHeight="1">
      <c r="A171" s="50"/>
      <c r="B171" s="50"/>
      <c r="C171" s="51"/>
      <c r="D171" s="51"/>
      <c r="E171" s="80"/>
      <c r="F171" s="52"/>
      <c r="G171" s="50"/>
      <c r="H171" s="50"/>
      <c r="I171" s="50"/>
      <c r="J171" s="51"/>
      <c r="K171" s="51"/>
      <c r="L171" s="51"/>
      <c r="M171" s="52"/>
      <c r="N171" s="52"/>
      <c r="O171" s="52"/>
      <c r="P171" s="50"/>
      <c r="Q171" s="53"/>
      <c r="R171" s="50"/>
      <c r="S171" s="50"/>
      <c r="T171" s="79"/>
      <c r="U171" s="46"/>
      <c r="V171" s="79"/>
    </row>
    <row r="172" ht="22.5" customHeight="1">
      <c r="A172" s="50"/>
      <c r="B172" s="50"/>
      <c r="C172" s="51"/>
      <c r="D172" s="51"/>
      <c r="E172" s="80"/>
      <c r="F172" s="52"/>
      <c r="G172" s="50"/>
      <c r="H172" s="50"/>
      <c r="I172" s="50"/>
      <c r="J172" s="51"/>
      <c r="K172" s="51"/>
      <c r="L172" s="51"/>
      <c r="M172" s="52"/>
      <c r="N172" s="52"/>
      <c r="O172" s="52"/>
      <c r="P172" s="50"/>
      <c r="Q172" s="53"/>
      <c r="R172" s="50"/>
      <c r="S172" s="50"/>
      <c r="T172" s="79"/>
      <c r="U172" s="46"/>
      <c r="V172" s="79"/>
    </row>
    <row r="173" ht="22.5" customHeight="1">
      <c r="A173" s="50"/>
      <c r="B173" s="50"/>
      <c r="C173" s="51"/>
      <c r="D173" s="51"/>
      <c r="E173" s="80"/>
      <c r="F173" s="52"/>
      <c r="G173" s="50"/>
      <c r="H173" s="50"/>
      <c r="I173" s="50"/>
      <c r="J173" s="51"/>
      <c r="K173" s="51"/>
      <c r="L173" s="51"/>
      <c r="M173" s="52"/>
      <c r="N173" s="52"/>
      <c r="O173" s="52"/>
      <c r="P173" s="50"/>
      <c r="Q173" s="53"/>
      <c r="R173" s="50"/>
      <c r="S173" s="50"/>
      <c r="T173" s="79"/>
      <c r="U173" s="46"/>
      <c r="V173" s="79"/>
    </row>
    <row r="174" ht="22.5" customHeight="1">
      <c r="A174" s="50"/>
      <c r="B174" s="50"/>
      <c r="C174" s="51"/>
      <c r="D174" s="51"/>
      <c r="E174" s="80"/>
      <c r="F174" s="52"/>
      <c r="G174" s="50"/>
      <c r="H174" s="50"/>
      <c r="I174" s="50"/>
      <c r="J174" s="51"/>
      <c r="K174" s="51"/>
      <c r="L174" s="51"/>
      <c r="M174" s="52"/>
      <c r="N174" s="52"/>
      <c r="O174" s="52"/>
      <c r="P174" s="50"/>
      <c r="Q174" s="53"/>
      <c r="R174" s="50"/>
      <c r="S174" s="50"/>
      <c r="T174" s="79"/>
      <c r="U174" s="46"/>
      <c r="V174" s="79"/>
    </row>
    <row r="175" ht="22.5" customHeight="1">
      <c r="A175" s="50"/>
      <c r="B175" s="50"/>
      <c r="C175" s="51"/>
      <c r="D175" s="51"/>
      <c r="E175" s="80"/>
      <c r="F175" s="52"/>
      <c r="G175" s="50"/>
      <c r="H175" s="50"/>
      <c r="I175" s="50"/>
      <c r="J175" s="51"/>
      <c r="K175" s="51"/>
      <c r="L175" s="51"/>
      <c r="M175" s="52"/>
      <c r="N175" s="52"/>
      <c r="O175" s="52"/>
      <c r="P175" s="50"/>
      <c r="Q175" s="53"/>
      <c r="R175" s="50"/>
      <c r="S175" s="50"/>
      <c r="T175" s="79"/>
      <c r="U175" s="46"/>
      <c r="V175" s="79"/>
    </row>
    <row r="176" ht="22.5" customHeight="1">
      <c r="A176" s="50"/>
      <c r="B176" s="50"/>
      <c r="C176" s="51"/>
      <c r="D176" s="51"/>
      <c r="E176" s="80"/>
      <c r="F176" s="52"/>
      <c r="G176" s="50"/>
      <c r="H176" s="50"/>
      <c r="I176" s="50"/>
      <c r="J176" s="51"/>
      <c r="K176" s="51"/>
      <c r="L176" s="51"/>
      <c r="M176" s="52"/>
      <c r="N176" s="52"/>
      <c r="O176" s="52"/>
      <c r="P176" s="50"/>
      <c r="Q176" s="53"/>
      <c r="R176" s="50"/>
      <c r="S176" s="50"/>
      <c r="T176" s="79"/>
      <c r="U176" s="46"/>
      <c r="V176" s="79"/>
    </row>
    <row r="177" ht="22.5" customHeight="1">
      <c r="A177" s="50"/>
      <c r="B177" s="50"/>
      <c r="C177" s="51"/>
      <c r="D177" s="51"/>
      <c r="E177" s="80"/>
      <c r="F177" s="52"/>
      <c r="G177" s="50"/>
      <c r="H177" s="50"/>
      <c r="I177" s="50"/>
      <c r="J177" s="51"/>
      <c r="K177" s="51"/>
      <c r="L177" s="51"/>
      <c r="M177" s="52"/>
      <c r="N177" s="52"/>
      <c r="O177" s="52"/>
      <c r="P177" s="50"/>
      <c r="Q177" s="53"/>
      <c r="R177" s="50"/>
      <c r="S177" s="50"/>
      <c r="T177" s="79"/>
      <c r="U177" s="46"/>
      <c r="V177" s="79"/>
    </row>
    <row r="178" ht="22.5" customHeight="1">
      <c r="A178" s="50"/>
      <c r="B178" s="50"/>
      <c r="C178" s="51"/>
      <c r="D178" s="51"/>
      <c r="E178" s="80"/>
      <c r="F178" s="52"/>
      <c r="G178" s="50"/>
      <c r="H178" s="50"/>
      <c r="I178" s="50"/>
      <c r="J178" s="51"/>
      <c r="K178" s="51"/>
      <c r="L178" s="51"/>
      <c r="M178" s="52"/>
      <c r="N178" s="52"/>
      <c r="O178" s="52"/>
      <c r="P178" s="50"/>
      <c r="Q178" s="53"/>
      <c r="R178" s="50"/>
      <c r="S178" s="50"/>
      <c r="T178" s="79"/>
      <c r="U178" s="46"/>
      <c r="V178" s="79"/>
    </row>
    <row r="179" ht="22.5" customHeight="1">
      <c r="A179" s="50"/>
      <c r="B179" s="50"/>
      <c r="C179" s="51"/>
      <c r="D179" s="51"/>
      <c r="E179" s="80"/>
      <c r="F179" s="52"/>
      <c r="G179" s="50"/>
      <c r="H179" s="50"/>
      <c r="I179" s="50"/>
      <c r="J179" s="51"/>
      <c r="K179" s="51"/>
      <c r="L179" s="51"/>
      <c r="M179" s="52"/>
      <c r="N179" s="52"/>
      <c r="O179" s="52"/>
      <c r="P179" s="50"/>
      <c r="Q179" s="53"/>
      <c r="R179" s="50"/>
      <c r="S179" s="50"/>
      <c r="T179" s="79"/>
      <c r="U179" s="46"/>
      <c r="V179" s="79"/>
    </row>
    <row r="180" ht="22.5" customHeight="1">
      <c r="A180" s="50"/>
      <c r="B180" s="50"/>
      <c r="C180" s="51"/>
      <c r="D180" s="51"/>
      <c r="E180" s="80"/>
      <c r="F180" s="52"/>
      <c r="G180" s="50"/>
      <c r="H180" s="50"/>
      <c r="I180" s="50"/>
      <c r="J180" s="51"/>
      <c r="K180" s="51"/>
      <c r="L180" s="51"/>
      <c r="M180" s="52"/>
      <c r="N180" s="52"/>
      <c r="O180" s="52"/>
      <c r="P180" s="50"/>
      <c r="Q180" s="53"/>
      <c r="R180" s="50"/>
      <c r="S180" s="50"/>
      <c r="T180" s="79"/>
      <c r="U180" s="46"/>
      <c r="V180" s="79"/>
    </row>
    <row r="181" ht="22.5" customHeight="1">
      <c r="A181" s="50"/>
      <c r="B181" s="50"/>
      <c r="C181" s="51"/>
      <c r="D181" s="51"/>
      <c r="E181" s="80"/>
      <c r="F181" s="52"/>
      <c r="G181" s="50"/>
      <c r="H181" s="50"/>
      <c r="I181" s="50"/>
      <c r="J181" s="51"/>
      <c r="K181" s="51"/>
      <c r="L181" s="51"/>
      <c r="M181" s="52"/>
      <c r="N181" s="52"/>
      <c r="O181" s="52"/>
      <c r="P181" s="50"/>
      <c r="Q181" s="53"/>
      <c r="R181" s="50"/>
      <c r="S181" s="50"/>
      <c r="T181" s="79"/>
      <c r="U181" s="46"/>
      <c r="V181" s="79"/>
    </row>
    <row r="182" ht="22.5" customHeight="1">
      <c r="A182" s="50"/>
      <c r="B182" s="50"/>
      <c r="C182" s="51"/>
      <c r="D182" s="51"/>
      <c r="E182" s="80"/>
      <c r="F182" s="52"/>
      <c r="G182" s="50"/>
      <c r="H182" s="50"/>
      <c r="I182" s="50"/>
      <c r="J182" s="51"/>
      <c r="K182" s="51"/>
      <c r="L182" s="51"/>
      <c r="M182" s="52"/>
      <c r="N182" s="52"/>
      <c r="O182" s="52"/>
      <c r="P182" s="50"/>
      <c r="Q182" s="53"/>
      <c r="R182" s="50"/>
      <c r="S182" s="50"/>
      <c r="T182" s="79"/>
      <c r="U182" s="46"/>
      <c r="V182" s="79"/>
    </row>
    <row r="183" ht="22.5" customHeight="1">
      <c r="A183" s="50"/>
      <c r="B183" s="50"/>
      <c r="C183" s="51"/>
      <c r="D183" s="51"/>
      <c r="E183" s="80"/>
      <c r="F183" s="52"/>
      <c r="G183" s="50"/>
      <c r="H183" s="50"/>
      <c r="I183" s="50"/>
      <c r="J183" s="51"/>
      <c r="K183" s="51"/>
      <c r="L183" s="51"/>
      <c r="M183" s="52"/>
      <c r="N183" s="52"/>
      <c r="O183" s="52"/>
      <c r="P183" s="50"/>
      <c r="Q183" s="53"/>
      <c r="R183" s="50"/>
      <c r="S183" s="50"/>
      <c r="T183" s="79"/>
      <c r="U183" s="46"/>
      <c r="V183" s="79"/>
    </row>
    <row r="184" ht="22.5" customHeight="1">
      <c r="A184" s="50"/>
      <c r="B184" s="50"/>
      <c r="C184" s="51"/>
      <c r="D184" s="51"/>
      <c r="E184" s="80"/>
      <c r="F184" s="52"/>
      <c r="G184" s="50"/>
      <c r="H184" s="50"/>
      <c r="I184" s="50"/>
      <c r="J184" s="51"/>
      <c r="K184" s="51"/>
      <c r="L184" s="51"/>
      <c r="M184" s="52"/>
      <c r="N184" s="52"/>
      <c r="O184" s="52"/>
      <c r="P184" s="50"/>
      <c r="Q184" s="53"/>
      <c r="R184" s="50"/>
      <c r="S184" s="50"/>
      <c r="T184" s="79"/>
      <c r="U184" s="46"/>
      <c r="V184" s="79"/>
    </row>
    <row r="185" ht="22.5" customHeight="1">
      <c r="A185" s="50"/>
      <c r="B185" s="50"/>
      <c r="C185" s="51"/>
      <c r="D185" s="51"/>
      <c r="E185" s="80"/>
      <c r="F185" s="52"/>
      <c r="G185" s="50"/>
      <c r="H185" s="50"/>
      <c r="I185" s="50"/>
      <c r="J185" s="51"/>
      <c r="K185" s="51"/>
      <c r="L185" s="51"/>
      <c r="M185" s="52"/>
      <c r="N185" s="52"/>
      <c r="O185" s="52"/>
      <c r="P185" s="50"/>
      <c r="Q185" s="53"/>
      <c r="R185" s="50"/>
      <c r="S185" s="50"/>
      <c r="T185" s="79"/>
      <c r="U185" s="46"/>
      <c r="V185" s="79"/>
    </row>
    <row r="186" ht="22.5" customHeight="1">
      <c r="A186" s="50"/>
      <c r="B186" s="50"/>
      <c r="C186" s="51"/>
      <c r="D186" s="51"/>
      <c r="E186" s="80"/>
      <c r="F186" s="52"/>
      <c r="G186" s="50"/>
      <c r="H186" s="50"/>
      <c r="I186" s="50"/>
      <c r="J186" s="51"/>
      <c r="K186" s="51"/>
      <c r="L186" s="51"/>
      <c r="M186" s="52"/>
      <c r="N186" s="52"/>
      <c r="O186" s="52"/>
      <c r="P186" s="50"/>
      <c r="Q186" s="53"/>
      <c r="R186" s="50"/>
      <c r="S186" s="50"/>
      <c r="T186" s="79"/>
      <c r="U186" s="46"/>
      <c r="V186" s="79"/>
    </row>
    <row r="187" ht="22.5" customHeight="1">
      <c r="A187" s="50"/>
      <c r="B187" s="50"/>
      <c r="C187" s="51"/>
      <c r="D187" s="51"/>
      <c r="E187" s="80"/>
      <c r="F187" s="52"/>
      <c r="G187" s="50"/>
      <c r="H187" s="50"/>
      <c r="I187" s="50"/>
      <c r="J187" s="51"/>
      <c r="K187" s="51"/>
      <c r="L187" s="51"/>
      <c r="M187" s="52"/>
      <c r="N187" s="52"/>
      <c r="O187" s="52"/>
      <c r="P187" s="50"/>
      <c r="Q187" s="53"/>
      <c r="R187" s="50"/>
      <c r="S187" s="50"/>
      <c r="T187" s="79"/>
      <c r="U187" s="46"/>
      <c r="V187" s="79"/>
    </row>
    <row r="188" ht="22.5" customHeight="1">
      <c r="A188" s="50"/>
      <c r="B188" s="50"/>
      <c r="C188" s="51"/>
      <c r="D188" s="51"/>
      <c r="E188" s="80"/>
      <c r="F188" s="52"/>
      <c r="G188" s="50"/>
      <c r="H188" s="50"/>
      <c r="I188" s="50"/>
      <c r="J188" s="51"/>
      <c r="K188" s="51"/>
      <c r="L188" s="51"/>
      <c r="M188" s="52"/>
      <c r="N188" s="52"/>
      <c r="O188" s="52"/>
      <c r="P188" s="50"/>
      <c r="Q188" s="53"/>
      <c r="R188" s="50"/>
      <c r="S188" s="50"/>
      <c r="T188" s="79"/>
      <c r="U188" s="46"/>
      <c r="V188" s="79"/>
    </row>
    <row r="189" ht="22.5" customHeight="1">
      <c r="A189" s="50"/>
      <c r="B189" s="50"/>
      <c r="C189" s="51"/>
      <c r="D189" s="51"/>
      <c r="E189" s="80"/>
      <c r="F189" s="52"/>
      <c r="G189" s="50"/>
      <c r="H189" s="50"/>
      <c r="I189" s="50"/>
      <c r="J189" s="51"/>
      <c r="K189" s="51"/>
      <c r="L189" s="51"/>
      <c r="M189" s="52"/>
      <c r="N189" s="52"/>
      <c r="O189" s="52"/>
      <c r="P189" s="50"/>
      <c r="Q189" s="53"/>
      <c r="R189" s="50"/>
      <c r="S189" s="50"/>
      <c r="T189" s="79"/>
      <c r="U189" s="46"/>
      <c r="V189" s="79"/>
    </row>
    <row r="190" ht="22.5" customHeight="1">
      <c r="A190" s="50"/>
      <c r="B190" s="50"/>
      <c r="C190" s="51"/>
      <c r="D190" s="51"/>
      <c r="E190" s="80"/>
      <c r="F190" s="52"/>
      <c r="G190" s="50"/>
      <c r="H190" s="50"/>
      <c r="I190" s="50"/>
      <c r="J190" s="51"/>
      <c r="K190" s="51"/>
      <c r="L190" s="51"/>
      <c r="M190" s="52"/>
      <c r="N190" s="52"/>
      <c r="O190" s="52"/>
      <c r="P190" s="50"/>
      <c r="Q190" s="53"/>
      <c r="R190" s="50"/>
      <c r="S190" s="50"/>
      <c r="T190" s="79"/>
      <c r="U190" s="46"/>
      <c r="V190" s="79"/>
    </row>
    <row r="191" ht="22.5" customHeight="1">
      <c r="A191" s="50"/>
      <c r="B191" s="50"/>
      <c r="C191" s="51"/>
      <c r="D191" s="51"/>
      <c r="E191" s="80"/>
      <c r="F191" s="52"/>
      <c r="G191" s="50"/>
      <c r="H191" s="50"/>
      <c r="I191" s="50"/>
      <c r="J191" s="51"/>
      <c r="K191" s="51"/>
      <c r="L191" s="51"/>
      <c r="M191" s="52"/>
      <c r="N191" s="52"/>
      <c r="O191" s="52"/>
      <c r="P191" s="50"/>
      <c r="Q191" s="53"/>
      <c r="R191" s="50"/>
      <c r="S191" s="50"/>
      <c r="T191" s="79"/>
      <c r="U191" s="46"/>
      <c r="V191" s="79"/>
    </row>
    <row r="192" ht="22.5" customHeight="1">
      <c r="A192" s="50"/>
      <c r="B192" s="50"/>
      <c r="C192" s="51"/>
      <c r="D192" s="51"/>
      <c r="E192" s="80"/>
      <c r="F192" s="52"/>
      <c r="G192" s="50"/>
      <c r="H192" s="50"/>
      <c r="I192" s="50"/>
      <c r="J192" s="51"/>
      <c r="K192" s="51"/>
      <c r="L192" s="51"/>
      <c r="M192" s="52"/>
      <c r="N192" s="52"/>
      <c r="O192" s="52"/>
      <c r="P192" s="50"/>
      <c r="Q192" s="53"/>
      <c r="R192" s="50"/>
      <c r="S192" s="50"/>
      <c r="T192" s="79"/>
      <c r="U192" s="46"/>
      <c r="V192" s="79"/>
    </row>
    <row r="193" ht="22.5" customHeight="1">
      <c r="A193" s="50"/>
      <c r="B193" s="50"/>
      <c r="C193" s="51"/>
      <c r="D193" s="51"/>
      <c r="E193" s="80"/>
      <c r="F193" s="52"/>
      <c r="G193" s="50"/>
      <c r="H193" s="50"/>
      <c r="I193" s="50"/>
      <c r="J193" s="51"/>
      <c r="K193" s="51"/>
      <c r="L193" s="51"/>
      <c r="M193" s="52"/>
      <c r="N193" s="52"/>
      <c r="O193" s="52"/>
      <c r="P193" s="50"/>
      <c r="Q193" s="53"/>
      <c r="R193" s="50"/>
      <c r="S193" s="50"/>
      <c r="T193" s="79"/>
      <c r="U193" s="46"/>
      <c r="V193" s="79"/>
    </row>
    <row r="194" ht="22.5" customHeight="1">
      <c r="A194" s="50"/>
      <c r="B194" s="50"/>
      <c r="C194" s="51"/>
      <c r="D194" s="51"/>
      <c r="E194" s="80"/>
      <c r="F194" s="52"/>
      <c r="G194" s="50"/>
      <c r="H194" s="50"/>
      <c r="I194" s="50"/>
      <c r="J194" s="51"/>
      <c r="K194" s="51"/>
      <c r="L194" s="51"/>
      <c r="M194" s="52"/>
      <c r="N194" s="52"/>
      <c r="O194" s="52"/>
      <c r="P194" s="50"/>
      <c r="Q194" s="53"/>
      <c r="R194" s="50"/>
      <c r="S194" s="50"/>
      <c r="T194" s="79"/>
      <c r="U194" s="46"/>
      <c r="V194" s="79"/>
    </row>
    <row r="195" ht="22.5" customHeight="1">
      <c r="A195" s="50"/>
      <c r="B195" s="50"/>
      <c r="C195" s="51"/>
      <c r="D195" s="51"/>
      <c r="E195" s="80"/>
      <c r="F195" s="52"/>
      <c r="G195" s="50"/>
      <c r="H195" s="50"/>
      <c r="I195" s="50"/>
      <c r="J195" s="51"/>
      <c r="K195" s="51"/>
      <c r="L195" s="51"/>
      <c r="M195" s="52"/>
      <c r="N195" s="52"/>
      <c r="O195" s="52"/>
      <c r="P195" s="50"/>
      <c r="Q195" s="53"/>
      <c r="R195" s="50"/>
      <c r="S195" s="50"/>
      <c r="T195" s="79"/>
      <c r="U195" s="46"/>
      <c r="V195" s="79"/>
    </row>
    <row r="196" ht="22.5" customHeight="1">
      <c r="A196" s="50"/>
      <c r="B196" s="50"/>
      <c r="C196" s="51"/>
      <c r="D196" s="51"/>
      <c r="E196" s="80"/>
      <c r="F196" s="52"/>
      <c r="G196" s="50"/>
      <c r="H196" s="50"/>
      <c r="I196" s="50"/>
      <c r="J196" s="51"/>
      <c r="K196" s="51"/>
      <c r="L196" s="51"/>
      <c r="M196" s="52"/>
      <c r="N196" s="52"/>
      <c r="O196" s="52"/>
      <c r="P196" s="50"/>
      <c r="Q196" s="53"/>
      <c r="R196" s="50"/>
      <c r="S196" s="50"/>
      <c r="T196" s="79"/>
      <c r="U196" s="46"/>
      <c r="V196" s="79"/>
    </row>
    <row r="197" ht="22.5" customHeight="1">
      <c r="A197" s="50"/>
      <c r="B197" s="50"/>
      <c r="C197" s="51"/>
      <c r="D197" s="51"/>
      <c r="E197" s="80"/>
      <c r="F197" s="52"/>
      <c r="G197" s="50"/>
      <c r="H197" s="50"/>
      <c r="I197" s="50"/>
      <c r="J197" s="51"/>
      <c r="K197" s="51"/>
      <c r="L197" s="51"/>
      <c r="M197" s="52"/>
      <c r="N197" s="52"/>
      <c r="O197" s="52"/>
      <c r="P197" s="50"/>
      <c r="Q197" s="53"/>
      <c r="R197" s="50"/>
      <c r="S197" s="50"/>
      <c r="T197" s="79"/>
      <c r="U197" s="46"/>
      <c r="V197" s="79"/>
    </row>
    <row r="198" ht="22.5" customHeight="1">
      <c r="A198" s="50"/>
      <c r="B198" s="50"/>
      <c r="C198" s="51"/>
      <c r="D198" s="51"/>
      <c r="E198" s="80"/>
      <c r="F198" s="52"/>
      <c r="G198" s="50"/>
      <c r="H198" s="50"/>
      <c r="I198" s="50"/>
      <c r="J198" s="51"/>
      <c r="K198" s="51"/>
      <c r="L198" s="51"/>
      <c r="M198" s="52"/>
      <c r="N198" s="52"/>
      <c r="O198" s="52"/>
      <c r="P198" s="50"/>
      <c r="Q198" s="53"/>
      <c r="R198" s="50"/>
      <c r="S198" s="50"/>
      <c r="T198" s="79"/>
      <c r="U198" s="46"/>
      <c r="V198" s="79"/>
    </row>
    <row r="199" ht="22.5" customHeight="1">
      <c r="A199" s="50"/>
      <c r="B199" s="50"/>
      <c r="C199" s="51"/>
      <c r="D199" s="51"/>
      <c r="E199" s="80"/>
      <c r="F199" s="52"/>
      <c r="G199" s="50"/>
      <c r="H199" s="50"/>
      <c r="I199" s="50"/>
      <c r="J199" s="51"/>
      <c r="K199" s="51"/>
      <c r="L199" s="51"/>
      <c r="M199" s="52"/>
      <c r="N199" s="52"/>
      <c r="O199" s="52"/>
      <c r="P199" s="50"/>
      <c r="Q199" s="53"/>
      <c r="R199" s="50"/>
      <c r="S199" s="50"/>
      <c r="T199" s="79"/>
      <c r="U199" s="46"/>
      <c r="V199" s="79"/>
    </row>
    <row r="200" ht="22.5" customHeight="1">
      <c r="A200" s="50"/>
      <c r="B200" s="50"/>
      <c r="C200" s="51"/>
      <c r="D200" s="51"/>
      <c r="E200" s="80"/>
      <c r="F200" s="52"/>
      <c r="G200" s="50"/>
      <c r="H200" s="50"/>
      <c r="I200" s="50"/>
      <c r="J200" s="51"/>
      <c r="K200" s="51"/>
      <c r="L200" s="51"/>
      <c r="M200" s="52"/>
      <c r="N200" s="52"/>
      <c r="O200" s="52"/>
      <c r="P200" s="50"/>
      <c r="Q200" s="53"/>
      <c r="R200" s="50"/>
      <c r="S200" s="50"/>
      <c r="T200" s="79"/>
      <c r="U200" s="46"/>
      <c r="V200" s="79"/>
    </row>
    <row r="201" ht="22.5" customHeight="1">
      <c r="A201" s="50"/>
      <c r="B201" s="50"/>
      <c r="C201" s="51"/>
      <c r="D201" s="51"/>
      <c r="E201" s="80"/>
      <c r="F201" s="52"/>
      <c r="G201" s="50"/>
      <c r="H201" s="50"/>
      <c r="I201" s="50"/>
      <c r="J201" s="51"/>
      <c r="K201" s="51"/>
      <c r="L201" s="51"/>
      <c r="M201" s="52"/>
      <c r="N201" s="52"/>
      <c r="O201" s="52"/>
      <c r="P201" s="50"/>
      <c r="Q201" s="53"/>
      <c r="R201" s="50"/>
      <c r="S201" s="50"/>
      <c r="T201" s="79"/>
      <c r="U201" s="46"/>
      <c r="V201" s="79"/>
    </row>
    <row r="202" ht="22.5" customHeight="1">
      <c r="A202" s="50"/>
      <c r="B202" s="50"/>
      <c r="C202" s="51"/>
      <c r="D202" s="51"/>
      <c r="E202" s="80"/>
      <c r="F202" s="52"/>
      <c r="G202" s="50"/>
      <c r="H202" s="50"/>
      <c r="I202" s="50"/>
      <c r="J202" s="51"/>
      <c r="K202" s="51"/>
      <c r="L202" s="51"/>
      <c r="M202" s="52"/>
      <c r="N202" s="52"/>
      <c r="O202" s="52"/>
      <c r="P202" s="50"/>
      <c r="Q202" s="53"/>
      <c r="R202" s="50"/>
      <c r="S202" s="50"/>
      <c r="T202" s="79"/>
      <c r="U202" s="46"/>
      <c r="V202" s="79"/>
    </row>
    <row r="203" ht="22.5" customHeight="1">
      <c r="A203" s="50"/>
      <c r="B203" s="50"/>
      <c r="C203" s="51"/>
      <c r="D203" s="51"/>
      <c r="E203" s="80"/>
      <c r="F203" s="52"/>
      <c r="G203" s="50"/>
      <c r="H203" s="50"/>
      <c r="I203" s="50"/>
      <c r="J203" s="51"/>
      <c r="K203" s="51"/>
      <c r="L203" s="51"/>
      <c r="M203" s="52"/>
      <c r="N203" s="52"/>
      <c r="O203" s="52"/>
      <c r="P203" s="50"/>
      <c r="Q203" s="53"/>
      <c r="R203" s="50"/>
      <c r="S203" s="50"/>
      <c r="T203" s="79"/>
      <c r="U203" s="46"/>
      <c r="V203" s="79"/>
    </row>
    <row r="204" ht="22.5" customHeight="1">
      <c r="A204" s="50"/>
      <c r="B204" s="50"/>
      <c r="C204" s="51"/>
      <c r="D204" s="51"/>
      <c r="E204" s="80"/>
      <c r="F204" s="52"/>
      <c r="G204" s="50"/>
      <c r="H204" s="50"/>
      <c r="I204" s="50"/>
      <c r="J204" s="51"/>
      <c r="K204" s="51"/>
      <c r="L204" s="51"/>
      <c r="M204" s="52"/>
      <c r="N204" s="52"/>
      <c r="O204" s="52"/>
      <c r="P204" s="50"/>
      <c r="Q204" s="53"/>
      <c r="R204" s="50"/>
      <c r="S204" s="50"/>
      <c r="T204" s="79"/>
      <c r="U204" s="46"/>
      <c r="V204" s="79"/>
    </row>
    <row r="205" ht="22.5" customHeight="1">
      <c r="A205" s="50"/>
      <c r="B205" s="50"/>
      <c r="C205" s="51"/>
      <c r="D205" s="51"/>
      <c r="E205" s="80"/>
      <c r="F205" s="52"/>
      <c r="G205" s="50"/>
      <c r="H205" s="50"/>
      <c r="I205" s="50"/>
      <c r="J205" s="51"/>
      <c r="K205" s="51"/>
      <c r="L205" s="51"/>
      <c r="M205" s="52"/>
      <c r="N205" s="52"/>
      <c r="O205" s="52"/>
      <c r="P205" s="50"/>
      <c r="Q205" s="53"/>
      <c r="R205" s="50"/>
      <c r="S205" s="50"/>
      <c r="T205" s="79"/>
      <c r="U205" s="46"/>
      <c r="V205" s="79"/>
    </row>
    <row r="206" ht="22.5" customHeight="1">
      <c r="A206" s="50"/>
      <c r="B206" s="50"/>
      <c r="C206" s="51"/>
      <c r="D206" s="51"/>
      <c r="E206" s="80"/>
      <c r="F206" s="52"/>
      <c r="G206" s="50"/>
      <c r="H206" s="50"/>
      <c r="I206" s="50"/>
      <c r="J206" s="51"/>
      <c r="K206" s="51"/>
      <c r="L206" s="51"/>
      <c r="M206" s="52"/>
      <c r="N206" s="52"/>
      <c r="O206" s="52"/>
      <c r="P206" s="50"/>
      <c r="Q206" s="53"/>
      <c r="R206" s="50"/>
      <c r="S206" s="50"/>
      <c r="T206" s="79"/>
      <c r="U206" s="46"/>
      <c r="V206" s="79"/>
    </row>
    <row r="207" ht="22.5" customHeight="1">
      <c r="A207" s="50"/>
      <c r="B207" s="50"/>
      <c r="C207" s="51"/>
      <c r="D207" s="51"/>
      <c r="E207" s="80"/>
      <c r="F207" s="52"/>
      <c r="G207" s="50"/>
      <c r="H207" s="50"/>
      <c r="I207" s="50"/>
      <c r="J207" s="51"/>
      <c r="K207" s="51"/>
      <c r="L207" s="51"/>
      <c r="M207" s="52"/>
      <c r="N207" s="52"/>
      <c r="O207" s="52"/>
      <c r="P207" s="50"/>
      <c r="Q207" s="53"/>
      <c r="R207" s="50"/>
      <c r="S207" s="50"/>
      <c r="T207" s="79"/>
      <c r="U207" s="46"/>
      <c r="V207" s="79"/>
    </row>
    <row r="208" ht="22.5" customHeight="1">
      <c r="A208" s="50"/>
      <c r="B208" s="50"/>
      <c r="C208" s="51"/>
      <c r="D208" s="51"/>
      <c r="E208" s="80"/>
      <c r="F208" s="52"/>
      <c r="G208" s="50"/>
      <c r="H208" s="50"/>
      <c r="I208" s="50"/>
      <c r="J208" s="51"/>
      <c r="K208" s="51"/>
      <c r="L208" s="51"/>
      <c r="M208" s="52"/>
      <c r="N208" s="52"/>
      <c r="O208" s="52"/>
      <c r="P208" s="50"/>
      <c r="Q208" s="53"/>
      <c r="R208" s="50"/>
      <c r="S208" s="50"/>
      <c r="T208" s="79"/>
      <c r="U208" s="46"/>
      <c r="V208" s="79"/>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sheetData>
  <dataValidations>
    <dataValidation type="list" allowBlank="1" sqref="C2:C208">
      <formula1>"KSCSTE- Kerala Forest Research Institute (KFRI),KSCSTE- Malabar Botanical Garden &amp; Institute for Plant Sciences (MBGIPS),KSCSTE- Centre for Water Resources Development and Management (CWRDM),KSCSTE- Jawaharlal Nehru Tropical Botanic Garden &amp; Research Inst"&amp;"itute (JNTBGRI),KSCSTE-Institute for Climate Change Studies,Integrated Rural Technology centre (IRTC) ,KSCSTE- Centre of Excellence in Microbiome (CoEM),Institute of Advanced Virology (IAV),KSCSTE - Srinivasa Ramanujan Institute for Basic Sciences,KSCSTE "&amp;"- National Transportation Planning and Research Centre (NATPAC),KSCSTE - Sophisticated Test and Instrumentation Centre (STIC),Centre of Excellence in Nutraceuticals (CoEN)"</formula1>
    </dataValidation>
    <dataValidation type="list" allowBlank="1" sqref="D2:D208">
      <formula1>"Agriculture ,Biotechnology &amp; Life Sciences,Food Technology,Advanced Materials &amp; Chemicals,MedTech &amp; Health Care,Robotics, Automation &amp; Drones,Infrastructure, Construction &amp; Smart Cities,Digital Technologies, AI &amp; Software,Consumer &amp; Lifestyle Products,Ene"&amp;"rgy, Climate &amp; Sustainability,Water, Environment &amp; Waste Management"</formula1>
    </dataValidation>
    <dataValidation type="list" allowBlank="1" sqref="E2:E208">
      <formula1>"Forestry &amp; Biodiversity ,Pharmaceuticals &amp; Nutraceuticals,Consumer Goods &amp; Crafts,Rural Livelihoods &amp; Skill Development,Genetic &amp; Molecular Research Tools,Crop Protection &amp; Disease Management,Water Resource Management,Soil Health &amp; Fertility,GIS &amp; Geospat"&amp;"ial Systems, Environmental Governance &amp; Planning,Climate &amp; Hydrological Monitoring Tools,Climate Action &amp; Carbon Sequestration,Waste Management &amp; Sanitation,Pollution Control &amp; Environmental Remediation,AI/ML &amp; Data Analytics,Biotechnology &amp; Life Sciences"&amp;",Food Processing &amp; Value Addition,Energy Storage &amp; Battery Tech,Nanotechnology &amp; Advanced Materials,Smart Transportation,Emergency Response Systems,Urban Mobility,Renewable Energy Generation,Road Safety,Eco-Tourism,Aerospace &amp; Defense,Quality Control &amp; Ca"&amp;"libration,Agriculture &amp; Crop Sciences,Sustainable Farming,Aquaculture &amp; Fisheries,Public Health &amp; Epidemiology,Data Analytics &amp; Optimization,Urban Planning &amp; Smart Cities,Transport Engineering &amp; Mobility,Disaster Management &amp; Safety,GovTech &amp; Public Porta"&amp;"ls,Carbon Accounting &amp; Climate Finance,Hydrology &amp; Groundwater Exploration,Environmental Analytics &amp; Impact Assessment,IP Valuation &amp; Tech Transfer,R&amp;D Strategic Planning"</formula1>
    </dataValidation>
    <dataValidation type="list" allowBlank="1" sqref="L2:L208">
      <formula1>"Not Specified,Patented,Patent Filed"</formula1>
    </dataValidation>
    <dataValidation type="custom" allowBlank="1" showDropDown="1" sqref="Q2:Q208">
      <formula1>AND(ISNUMBER(Q2),(NOT(OR(NOT(ISERROR(DATEVALUE(Q2))), AND(ISNUMBER(Q2), LEFT(CELL("format", Q2))="D")))))</formula1>
    </dataValidation>
    <dataValidation allowBlank="1" showDropDown="1" sqref="F2:F208 N2:O208"/>
    <dataValidation type="list" allowBlank="1" sqref="J2:J208">
      <formula1>"High,Medium,Low,Not Specified"</formula1>
    </dataValidation>
    <dataValidation type="list" allowBlank="1" sqref="K2:K208">
      <formula1>"TRL 7-9,TRL 5-7,TRL 6-8,TRL 8-9,TRL,Not Specified,TRL 9"</formula1>
    </dataValidation>
  </dataValidations>
  <hyperlinks>
    <hyperlink r:id="rId1" ref="T2"/>
    <hyperlink r:id="rId2" ref="T3"/>
    <hyperlink r:id="rId3" ref="T4"/>
    <hyperlink r:id="rId4" ref="T5"/>
    <hyperlink r:id="rId5" ref="T6"/>
    <hyperlink r:id="rId6" ref="T7"/>
    <hyperlink r:id="rId7" ref="T8"/>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1"/>
    <hyperlink r:id="rId21" ref="T22"/>
    <hyperlink r:id="rId22" ref="T23"/>
    <hyperlink r:id="rId23" ref="T24"/>
    <hyperlink r:id="rId24" ref="T25"/>
    <hyperlink r:id="rId25" ref="T26"/>
    <hyperlink r:id="rId26" ref="T27"/>
    <hyperlink r:id="rId27" ref="T28"/>
    <hyperlink r:id="rId28" ref="T29"/>
    <hyperlink r:id="rId29" ref="T30"/>
    <hyperlink r:id="rId30" ref="T31"/>
    <hyperlink r:id="rId31" ref="T32"/>
    <hyperlink r:id="rId32" ref="T33"/>
    <hyperlink r:id="rId33" ref="T34"/>
    <hyperlink r:id="rId34" ref="T35"/>
    <hyperlink r:id="rId35" ref="T36"/>
    <hyperlink r:id="rId36" ref="T37"/>
    <hyperlink r:id="rId37" ref="T38"/>
    <hyperlink r:id="rId38" ref="T39"/>
    <hyperlink r:id="rId39" ref="T40"/>
    <hyperlink r:id="rId40" ref="T41"/>
    <hyperlink r:id="rId41" ref="T42"/>
    <hyperlink r:id="rId42" ref="T43"/>
    <hyperlink r:id="rId43" ref="T45"/>
    <hyperlink r:id="rId44" ref="T46"/>
    <hyperlink r:id="rId45" ref="T47"/>
    <hyperlink r:id="rId46" ref="T48"/>
    <hyperlink r:id="rId47" ref="T49"/>
    <hyperlink r:id="rId48" ref="T50"/>
    <hyperlink r:id="rId49" ref="T51"/>
    <hyperlink r:id="rId50" ref="T52"/>
    <hyperlink r:id="rId51" ref="T53"/>
    <hyperlink r:id="rId52" ref="T54"/>
    <hyperlink r:id="rId53" ref="T55"/>
    <hyperlink r:id="rId54" ref="T56"/>
    <hyperlink r:id="rId55" ref="T58"/>
    <hyperlink r:id="rId56" ref="T59"/>
    <hyperlink r:id="rId57" ref="T60"/>
    <hyperlink r:id="rId58" ref="T61"/>
    <hyperlink r:id="rId59" ref="T62"/>
    <hyperlink r:id="rId60" ref="T64"/>
    <hyperlink r:id="rId61" ref="T65"/>
    <hyperlink r:id="rId62" ref="T66"/>
    <hyperlink r:id="rId63" ref="T67"/>
    <hyperlink r:id="rId64" ref="T68"/>
    <hyperlink r:id="rId65" ref="T69"/>
    <hyperlink r:id="rId66" ref="T70"/>
    <hyperlink r:id="rId67" ref="T71"/>
  </hyperlinks>
  <drawing r:id="rId68"/>
  <tableParts count="1">
    <tablePart r:id="rId7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37.63"/>
    <col customWidth="1" min="3" max="3" width="30.38"/>
    <col customWidth="1" min="4" max="4" width="18.38"/>
    <col customWidth="1" min="5" max="5" width="37.63"/>
    <col customWidth="1" min="6" max="6" width="27.25"/>
    <col customWidth="1" min="7" max="7" width="55.25"/>
    <col customWidth="1" min="8" max="8" width="28.38"/>
    <col customWidth="1" min="9" max="9" width="21.5"/>
    <col customWidth="1" min="11" max="11" width="18.88"/>
    <col customWidth="1" min="12" max="12" width="20.38"/>
    <col customWidth="1" min="13" max="13" width="13.5"/>
    <col customWidth="1" min="14" max="15" width="21.0"/>
    <col customWidth="1" min="16" max="16" width="27.25"/>
    <col customWidth="1" min="17" max="17" width="26.25"/>
  </cols>
  <sheetData>
    <row r="1" ht="22.5" customHeight="1">
      <c r="A1" s="81" t="s">
        <v>2155</v>
      </c>
      <c r="B1" s="81" t="s">
        <v>2156</v>
      </c>
      <c r="C1" s="81" t="s">
        <v>1980</v>
      </c>
      <c r="D1" s="81" t="s">
        <v>2157</v>
      </c>
      <c r="E1" s="81" t="s">
        <v>2158</v>
      </c>
      <c r="F1" s="81" t="s">
        <v>2159</v>
      </c>
      <c r="G1" s="55" t="s">
        <v>2160</v>
      </c>
      <c r="H1" s="81" t="s">
        <v>2161</v>
      </c>
      <c r="I1" s="81" t="s">
        <v>2162</v>
      </c>
      <c r="J1" s="81" t="s">
        <v>2163</v>
      </c>
      <c r="K1" s="81" t="s">
        <v>232</v>
      </c>
      <c r="L1" s="82" t="s">
        <v>2164</v>
      </c>
      <c r="M1" s="81" t="s">
        <v>2165</v>
      </c>
      <c r="N1" s="81" t="s">
        <v>2166</v>
      </c>
      <c r="O1" s="81" t="s">
        <v>2167</v>
      </c>
      <c r="P1" s="81" t="s">
        <v>2168</v>
      </c>
      <c r="Q1" s="58" t="s">
        <v>2169</v>
      </c>
      <c r="R1" s="58" t="s">
        <v>2170</v>
      </c>
    </row>
    <row r="2" ht="22.5" customHeight="1">
      <c r="A2" s="7" t="s">
        <v>288</v>
      </c>
      <c r="B2" s="16" t="s">
        <v>1110</v>
      </c>
      <c r="C2" s="17" t="s">
        <v>236</v>
      </c>
      <c r="D2" s="17" t="s">
        <v>31</v>
      </c>
      <c r="E2" s="18" t="s">
        <v>1111</v>
      </c>
      <c r="F2" s="19" t="s">
        <v>1112</v>
      </c>
      <c r="G2" s="19" t="s">
        <v>1113</v>
      </c>
      <c r="H2" s="19" t="s">
        <v>2171</v>
      </c>
      <c r="I2" s="17" t="s">
        <v>26</v>
      </c>
      <c r="J2" s="17" t="s">
        <v>26</v>
      </c>
      <c r="K2" s="17" t="s">
        <v>26</v>
      </c>
      <c r="L2" s="20" t="s">
        <v>1115</v>
      </c>
      <c r="M2" s="18" t="s">
        <v>1116</v>
      </c>
      <c r="N2" s="16" t="s">
        <v>1117</v>
      </c>
      <c r="O2" s="21">
        <v>18.0</v>
      </c>
      <c r="P2" s="16" t="s">
        <v>1118</v>
      </c>
      <c r="Q2" s="16" t="s">
        <v>26</v>
      </c>
      <c r="R2" s="83" t="s">
        <v>2172</v>
      </c>
    </row>
    <row r="3" ht="22.5" customHeight="1">
      <c r="A3" s="30" t="str">
        <f>IFERROR(__xludf.DUMMYFUNCTION("AI(""Fill an appropriate value for this cell based on the table context"")"),"NIIST-003")</f>
        <v>NIIST-003</v>
      </c>
      <c r="B3" s="16" t="s">
        <v>1120</v>
      </c>
      <c r="C3" s="17" t="s">
        <v>236</v>
      </c>
      <c r="D3" s="17" t="s">
        <v>183</v>
      </c>
      <c r="E3" s="18" t="s">
        <v>1121</v>
      </c>
      <c r="F3" s="19" t="s">
        <v>1122</v>
      </c>
      <c r="G3" s="19" t="s">
        <v>1123</v>
      </c>
      <c r="H3" s="19" t="s">
        <v>2173</v>
      </c>
      <c r="I3" s="17" t="s">
        <v>26</v>
      </c>
      <c r="J3" s="17" t="s">
        <v>26</v>
      </c>
      <c r="K3" s="17" t="s">
        <v>26</v>
      </c>
      <c r="L3" s="20" t="s">
        <v>1115</v>
      </c>
      <c r="M3" s="18" t="s">
        <v>1116</v>
      </c>
      <c r="N3" s="16" t="s">
        <v>1117</v>
      </c>
      <c r="O3" s="21">
        <v>3.0</v>
      </c>
      <c r="P3" s="16" t="s">
        <v>1125</v>
      </c>
      <c r="Q3" s="16" t="s">
        <v>26</v>
      </c>
      <c r="R3" s="83" t="s">
        <v>2172</v>
      </c>
    </row>
    <row r="4" ht="22.5" customHeight="1">
      <c r="A4" s="30" t="str">
        <f>IFERROR(__xludf.DUMMYFUNCTION("AI(""Fill an appropriate value for this cell based on the table context"")"),"NIIST-003")</f>
        <v>NIIST-003</v>
      </c>
      <c r="B4" s="22" t="s">
        <v>1127</v>
      </c>
      <c r="C4" s="23" t="s">
        <v>236</v>
      </c>
      <c r="D4" s="23" t="s">
        <v>31</v>
      </c>
      <c r="E4" s="24" t="s">
        <v>1128</v>
      </c>
      <c r="F4" s="25" t="s">
        <v>1129</v>
      </c>
      <c r="G4" s="25" t="s">
        <v>1130</v>
      </c>
      <c r="H4" s="25" t="s">
        <v>2174</v>
      </c>
      <c r="I4" s="23" t="s">
        <v>26</v>
      </c>
      <c r="J4" s="23" t="s">
        <v>26</v>
      </c>
      <c r="K4" s="23" t="s">
        <v>26</v>
      </c>
      <c r="L4" s="26" t="s">
        <v>1115</v>
      </c>
      <c r="M4" s="24" t="s">
        <v>1116</v>
      </c>
      <c r="N4" s="22" t="s">
        <v>1117</v>
      </c>
      <c r="O4" s="27">
        <v>3.0</v>
      </c>
      <c r="P4" s="22" t="s">
        <v>1132</v>
      </c>
      <c r="Q4" s="22" t="s">
        <v>26</v>
      </c>
      <c r="R4" s="84" t="s">
        <v>2172</v>
      </c>
    </row>
    <row r="5" ht="22.5" customHeight="1">
      <c r="A5" s="30" t="str">
        <f>IFERROR(__xludf.DUMMYFUNCTION("AI(""Fill an appropriate value for this cell based on the table context"")"),"NIIST-004")</f>
        <v>NIIST-004</v>
      </c>
      <c r="B5" s="22" t="s">
        <v>1134</v>
      </c>
      <c r="C5" s="23" t="s">
        <v>236</v>
      </c>
      <c r="D5" s="23" t="s">
        <v>31</v>
      </c>
      <c r="E5" s="24" t="s">
        <v>1135</v>
      </c>
      <c r="F5" s="25" t="s">
        <v>1136</v>
      </c>
      <c r="G5" s="25" t="s">
        <v>1137</v>
      </c>
      <c r="H5" s="25" t="s">
        <v>2175</v>
      </c>
      <c r="I5" s="23" t="s">
        <v>26</v>
      </c>
      <c r="J5" s="23" t="s">
        <v>26</v>
      </c>
      <c r="K5" s="23" t="s">
        <v>26</v>
      </c>
      <c r="L5" s="26" t="s">
        <v>1115</v>
      </c>
      <c r="M5" s="24" t="s">
        <v>1116</v>
      </c>
      <c r="N5" s="22" t="s">
        <v>1117</v>
      </c>
      <c r="O5" s="27" t="s">
        <v>26</v>
      </c>
      <c r="P5" s="22" t="s">
        <v>1139</v>
      </c>
      <c r="Q5" s="22" t="s">
        <v>26</v>
      </c>
      <c r="R5" s="84" t="s">
        <v>2172</v>
      </c>
    </row>
    <row r="6" ht="22.5" customHeight="1">
      <c r="A6" s="30" t="str">
        <f>IFERROR(__xludf.DUMMYFUNCTION("AI(""Fill an appropriate value for this cell based on the table context"")"),"NIIST-012")</f>
        <v>NIIST-012</v>
      </c>
      <c r="B6" s="22" t="s">
        <v>1141</v>
      </c>
      <c r="C6" s="23" t="s">
        <v>236</v>
      </c>
      <c r="D6" s="23" t="s">
        <v>31</v>
      </c>
      <c r="E6" s="24" t="s">
        <v>1135</v>
      </c>
      <c r="F6" s="25" t="s">
        <v>1142</v>
      </c>
      <c r="G6" s="25" t="s">
        <v>1143</v>
      </c>
      <c r="H6" s="25" t="s">
        <v>2176</v>
      </c>
      <c r="I6" s="23" t="s">
        <v>26</v>
      </c>
      <c r="J6" s="23" t="s">
        <v>26</v>
      </c>
      <c r="K6" s="23" t="s">
        <v>26</v>
      </c>
      <c r="L6" s="26" t="s">
        <v>1115</v>
      </c>
      <c r="M6" s="24" t="s">
        <v>1116</v>
      </c>
      <c r="N6" s="22" t="s">
        <v>1117</v>
      </c>
      <c r="O6" s="27" t="s">
        <v>26</v>
      </c>
      <c r="P6" s="22" t="s">
        <v>1145</v>
      </c>
      <c r="Q6" s="22" t="s">
        <v>26</v>
      </c>
      <c r="R6" s="84" t="s">
        <v>2172</v>
      </c>
    </row>
    <row r="7" ht="22.5" customHeight="1">
      <c r="A7" s="30" t="str">
        <f>IFERROR(__xludf.DUMMYFUNCTION("AI(""Fill an appropriate value for this cell based on the table context"")"),"NIIST-013")</f>
        <v>NIIST-013</v>
      </c>
      <c r="B7" s="16" t="s">
        <v>1147</v>
      </c>
      <c r="C7" s="17" t="s">
        <v>236</v>
      </c>
      <c r="D7" s="17" t="s">
        <v>31</v>
      </c>
      <c r="E7" s="18" t="s">
        <v>1135</v>
      </c>
      <c r="F7" s="19" t="s">
        <v>1148</v>
      </c>
      <c r="G7" s="19" t="s">
        <v>1149</v>
      </c>
      <c r="H7" s="19" t="s">
        <v>2177</v>
      </c>
      <c r="I7" s="17" t="s">
        <v>26</v>
      </c>
      <c r="J7" s="17" t="s">
        <v>26</v>
      </c>
      <c r="K7" s="17" t="s">
        <v>26</v>
      </c>
      <c r="L7" s="20" t="s">
        <v>1115</v>
      </c>
      <c r="M7" s="18" t="s">
        <v>1116</v>
      </c>
      <c r="N7" s="16" t="s">
        <v>1117</v>
      </c>
      <c r="O7" s="21" t="s">
        <v>26</v>
      </c>
      <c r="P7" s="16" t="s">
        <v>1151</v>
      </c>
      <c r="Q7" s="16" t="s">
        <v>26</v>
      </c>
      <c r="R7" s="83" t="s">
        <v>2172</v>
      </c>
    </row>
    <row r="8" ht="22.5" customHeight="1">
      <c r="A8" s="30" t="str">
        <f>IFERROR(__xludf.DUMMYFUNCTION("AI(""Fill an appropriate value for this cell based on the table context"")"),"NIIST-009")</f>
        <v>NIIST-009</v>
      </c>
      <c r="B8" s="16" t="s">
        <v>1153</v>
      </c>
      <c r="C8" s="17" t="s">
        <v>236</v>
      </c>
      <c r="D8" s="17" t="s">
        <v>31</v>
      </c>
      <c r="E8" s="18" t="s">
        <v>1135</v>
      </c>
      <c r="F8" s="19" t="s">
        <v>1142</v>
      </c>
      <c r="G8" s="19" t="s">
        <v>1154</v>
      </c>
      <c r="H8" s="19" t="s">
        <v>1155</v>
      </c>
      <c r="I8" s="17" t="s">
        <v>26</v>
      </c>
      <c r="J8" s="17" t="s">
        <v>26</v>
      </c>
      <c r="K8" s="17" t="s">
        <v>26</v>
      </c>
      <c r="L8" s="20" t="s">
        <v>1115</v>
      </c>
      <c r="M8" s="18" t="s">
        <v>1116</v>
      </c>
      <c r="N8" s="16" t="s">
        <v>1117</v>
      </c>
      <c r="O8" s="21">
        <v>16.0</v>
      </c>
      <c r="P8" s="16" t="s">
        <v>1156</v>
      </c>
      <c r="Q8" s="16" t="s">
        <v>26</v>
      </c>
      <c r="R8" s="83" t="s">
        <v>2172</v>
      </c>
    </row>
    <row r="9" ht="22.5" customHeight="1">
      <c r="A9" s="30" t="str">
        <f>IFERROR(__xludf.DUMMYFUNCTION("AI(""Fill an appropriate value for this cell based on the table context"")"),"NIIST-007")</f>
        <v>NIIST-007</v>
      </c>
      <c r="B9" s="16" t="s">
        <v>1158</v>
      </c>
      <c r="C9" s="17" t="s">
        <v>236</v>
      </c>
      <c r="D9" s="17" t="s">
        <v>31</v>
      </c>
      <c r="E9" s="18" t="s">
        <v>1135</v>
      </c>
      <c r="F9" s="19" t="s">
        <v>1142</v>
      </c>
      <c r="G9" s="19" t="s">
        <v>1159</v>
      </c>
      <c r="H9" s="19" t="s">
        <v>2178</v>
      </c>
      <c r="I9" s="17" t="s">
        <v>26</v>
      </c>
      <c r="J9" s="17" t="s">
        <v>26</v>
      </c>
      <c r="K9" s="17" t="s">
        <v>26</v>
      </c>
      <c r="L9" s="20" t="s">
        <v>1115</v>
      </c>
      <c r="M9" s="18" t="s">
        <v>1116</v>
      </c>
      <c r="N9" s="16" t="s">
        <v>1117</v>
      </c>
      <c r="O9" s="21">
        <v>16.0</v>
      </c>
      <c r="P9" s="16" t="s">
        <v>1161</v>
      </c>
      <c r="Q9" s="16" t="s">
        <v>26</v>
      </c>
      <c r="R9" s="83" t="s">
        <v>2172</v>
      </c>
    </row>
    <row r="10" ht="22.5" customHeight="1">
      <c r="A10" s="30" t="str">
        <f>IFERROR(__xludf.DUMMYFUNCTION("AI(""Fill an appropriate value for this cell based on the table context"")"),"NIIST-009")</f>
        <v>NIIST-009</v>
      </c>
      <c r="B10" s="7" t="s">
        <v>1163</v>
      </c>
      <c r="C10" s="9" t="s">
        <v>236</v>
      </c>
      <c r="D10" s="9" t="s">
        <v>46</v>
      </c>
      <c r="E10" s="15" t="s">
        <v>1164</v>
      </c>
      <c r="F10" s="7" t="s">
        <v>1165</v>
      </c>
      <c r="G10" s="8" t="s">
        <v>1166</v>
      </c>
      <c r="H10" s="8" t="s">
        <v>2179</v>
      </c>
      <c r="I10" s="9" t="s">
        <v>26</v>
      </c>
      <c r="J10" s="9" t="s">
        <v>26</v>
      </c>
      <c r="K10" s="9" t="s">
        <v>26</v>
      </c>
      <c r="L10" s="28" t="s">
        <v>1115</v>
      </c>
      <c r="M10" s="15" t="s">
        <v>1116</v>
      </c>
      <c r="N10" s="7" t="s">
        <v>1117</v>
      </c>
      <c r="O10" s="10">
        <v>5.0</v>
      </c>
      <c r="P10" s="7" t="s">
        <v>1168</v>
      </c>
      <c r="Q10" s="7" t="s">
        <v>26</v>
      </c>
      <c r="R10" s="13" t="s">
        <v>2172</v>
      </c>
    </row>
    <row r="11" ht="22.5" customHeight="1">
      <c r="A11" s="30" t="str">
        <f>IFERROR(__xludf.DUMMYFUNCTION("AI(""Fill an appropriate value for this cell based on the table context"")"),"NIIST-006")</f>
        <v>NIIST-006</v>
      </c>
      <c r="B11" s="8" t="s">
        <v>1170</v>
      </c>
      <c r="C11" s="9" t="s">
        <v>236</v>
      </c>
      <c r="D11" s="9" t="s">
        <v>31</v>
      </c>
      <c r="E11" s="15" t="s">
        <v>32</v>
      </c>
      <c r="F11" s="7" t="s">
        <v>1171</v>
      </c>
      <c r="G11" s="8" t="s">
        <v>1172</v>
      </c>
      <c r="H11" s="8" t="s">
        <v>2180</v>
      </c>
      <c r="I11" s="9" t="s">
        <v>26</v>
      </c>
      <c r="J11" s="9" t="s">
        <v>26</v>
      </c>
      <c r="K11" s="9" t="s">
        <v>26</v>
      </c>
      <c r="L11" s="28" t="s">
        <v>1115</v>
      </c>
      <c r="M11" s="15" t="s">
        <v>1116</v>
      </c>
      <c r="N11" s="7" t="s">
        <v>1117</v>
      </c>
      <c r="O11" s="10">
        <v>6.0</v>
      </c>
      <c r="P11" s="7" t="s">
        <v>1174</v>
      </c>
      <c r="Q11" s="7" t="s">
        <v>26</v>
      </c>
      <c r="R11" s="13" t="s">
        <v>2172</v>
      </c>
    </row>
    <row r="12" ht="22.5" customHeight="1">
      <c r="A12" s="30" t="str">
        <f>IFERROR(__xludf.DUMMYFUNCTION("AI(""Fill an appropriate value for this cell based on the table context"")"),"NIIST-018")</f>
        <v>NIIST-018</v>
      </c>
      <c r="B12" s="8" t="s">
        <v>1176</v>
      </c>
      <c r="C12" s="9" t="s">
        <v>236</v>
      </c>
      <c r="D12" s="9" t="s">
        <v>31</v>
      </c>
      <c r="E12" s="15" t="s">
        <v>1135</v>
      </c>
      <c r="F12" s="7" t="s">
        <v>1177</v>
      </c>
      <c r="G12" s="8" t="s">
        <v>1178</v>
      </c>
      <c r="H12" s="8" t="s">
        <v>2181</v>
      </c>
      <c r="I12" s="9" t="s">
        <v>26</v>
      </c>
      <c r="J12" s="9" t="s">
        <v>26</v>
      </c>
      <c r="K12" s="9" t="s">
        <v>26</v>
      </c>
      <c r="L12" s="28" t="s">
        <v>1115</v>
      </c>
      <c r="M12" s="15" t="s">
        <v>1116</v>
      </c>
      <c r="N12" s="7" t="s">
        <v>1117</v>
      </c>
      <c r="O12" s="10">
        <v>15.0</v>
      </c>
      <c r="P12" s="7" t="s">
        <v>1180</v>
      </c>
      <c r="Q12" s="7" t="s">
        <v>26</v>
      </c>
      <c r="R12" s="13" t="s">
        <v>2172</v>
      </c>
    </row>
    <row r="13" ht="22.5" customHeight="1">
      <c r="A13" s="30" t="str">
        <f>IFERROR(__xludf.DUMMYFUNCTION("AI(""Fill an appropriate value for this cell based on the table context"")"),"NIIST-012")</f>
        <v>NIIST-012</v>
      </c>
      <c r="B13" s="8" t="s">
        <v>1182</v>
      </c>
      <c r="C13" s="9" t="s">
        <v>236</v>
      </c>
      <c r="D13" s="9" t="s">
        <v>31</v>
      </c>
      <c r="E13" s="15" t="s">
        <v>1135</v>
      </c>
      <c r="F13" s="7" t="s">
        <v>1183</v>
      </c>
      <c r="G13" s="8" t="s">
        <v>1184</v>
      </c>
      <c r="H13" s="8" t="s">
        <v>2182</v>
      </c>
      <c r="I13" s="9" t="s">
        <v>26</v>
      </c>
      <c r="J13" s="9" t="s">
        <v>26</v>
      </c>
      <c r="K13" s="9" t="s">
        <v>26</v>
      </c>
      <c r="L13" s="28" t="s">
        <v>1115</v>
      </c>
      <c r="M13" s="15" t="s">
        <v>1116</v>
      </c>
      <c r="N13" s="7" t="s">
        <v>1117</v>
      </c>
      <c r="O13" s="10">
        <v>15.0</v>
      </c>
      <c r="P13" s="7" t="s">
        <v>1186</v>
      </c>
      <c r="Q13" s="29" t="s">
        <v>26</v>
      </c>
      <c r="R13" s="13" t="s">
        <v>2172</v>
      </c>
    </row>
    <row r="14" ht="22.5" customHeight="1">
      <c r="A14" s="30" t="str">
        <f>IFERROR(__xludf.DUMMYFUNCTION("AI(""Fill an appropriate value for this cell based on the table context"")"),"NIIST-021")</f>
        <v>NIIST-021</v>
      </c>
      <c r="B14" s="8" t="s">
        <v>1187</v>
      </c>
      <c r="C14" s="9" t="s">
        <v>236</v>
      </c>
      <c r="D14" s="9" t="s">
        <v>31</v>
      </c>
      <c r="E14" s="15" t="s">
        <v>1188</v>
      </c>
      <c r="F14" s="7" t="s">
        <v>1189</v>
      </c>
      <c r="G14" s="8" t="s">
        <v>1190</v>
      </c>
      <c r="H14" s="8" t="s">
        <v>1191</v>
      </c>
      <c r="I14" s="9" t="s">
        <v>26</v>
      </c>
      <c r="J14" s="9" t="s">
        <v>26</v>
      </c>
      <c r="K14" s="9" t="s">
        <v>26</v>
      </c>
      <c r="L14" s="28" t="s">
        <v>1115</v>
      </c>
      <c r="M14" s="15" t="s">
        <v>1116</v>
      </c>
      <c r="N14" s="7" t="s">
        <v>1117</v>
      </c>
      <c r="O14" s="10">
        <v>6.0</v>
      </c>
      <c r="P14" s="7" t="s">
        <v>1192</v>
      </c>
      <c r="Q14" s="7" t="s">
        <v>26</v>
      </c>
      <c r="R14" s="13" t="s">
        <v>2172</v>
      </c>
    </row>
    <row r="15" ht="22.5" customHeight="1">
      <c r="A15" s="30" t="str">
        <f>IFERROR(__xludf.DUMMYFUNCTION("AI(""Fill an appropriate value for this cell based on the table context"")"),"NIIST-014")</f>
        <v>NIIST-014</v>
      </c>
      <c r="B15" s="8" t="s">
        <v>1194</v>
      </c>
      <c r="C15" s="9" t="s">
        <v>236</v>
      </c>
      <c r="D15" s="9" t="s">
        <v>31</v>
      </c>
      <c r="E15" s="15" t="s">
        <v>1195</v>
      </c>
      <c r="F15" s="7" t="s">
        <v>1196</v>
      </c>
      <c r="G15" s="8" t="s">
        <v>1197</v>
      </c>
      <c r="H15" s="8" t="s">
        <v>1198</v>
      </c>
      <c r="I15" s="9" t="s">
        <v>26</v>
      </c>
      <c r="J15" s="9" t="s">
        <v>26</v>
      </c>
      <c r="K15" s="9" t="s">
        <v>26</v>
      </c>
      <c r="L15" s="28" t="s">
        <v>1115</v>
      </c>
      <c r="M15" s="15" t="s">
        <v>1116</v>
      </c>
      <c r="N15" s="7" t="s">
        <v>1117</v>
      </c>
      <c r="O15" s="10">
        <v>14.0</v>
      </c>
      <c r="P15" s="7" t="s">
        <v>1199</v>
      </c>
      <c r="Q15" s="29" t="s">
        <v>26</v>
      </c>
      <c r="R15" s="13" t="s">
        <v>2172</v>
      </c>
    </row>
    <row r="16" ht="22.5" customHeight="1">
      <c r="A16" s="30" t="str">
        <f>IFERROR(__xludf.DUMMYFUNCTION("AI(""Fill an appropriate value for this cell based on the table context"")"),"NIIST-015")</f>
        <v>NIIST-015</v>
      </c>
      <c r="B16" s="8" t="s">
        <v>1201</v>
      </c>
      <c r="C16" s="9" t="s">
        <v>236</v>
      </c>
      <c r="D16" s="9" t="s">
        <v>174</v>
      </c>
      <c r="E16" s="15" t="s">
        <v>1202</v>
      </c>
      <c r="F16" s="7" t="s">
        <v>1203</v>
      </c>
      <c r="G16" s="8" t="s">
        <v>1204</v>
      </c>
      <c r="H16" s="8" t="s">
        <v>1205</v>
      </c>
      <c r="I16" s="9" t="s">
        <v>26</v>
      </c>
      <c r="J16" s="9" t="s">
        <v>26</v>
      </c>
      <c r="K16" s="9" t="s">
        <v>26</v>
      </c>
      <c r="L16" s="28" t="s">
        <v>1115</v>
      </c>
      <c r="M16" s="15" t="s">
        <v>1116</v>
      </c>
      <c r="N16" s="7" t="s">
        <v>1117</v>
      </c>
      <c r="O16" s="10">
        <v>7.0</v>
      </c>
      <c r="P16" s="7" t="s">
        <v>1206</v>
      </c>
      <c r="Q16" s="7" t="s">
        <v>26</v>
      </c>
      <c r="R16" s="13" t="s">
        <v>2172</v>
      </c>
    </row>
    <row r="17" ht="22.5" customHeight="1">
      <c r="A17" s="30" t="str">
        <f>IFERROR(__xludf.DUMMYFUNCTION("AI(""Fill an appropriate value for this cell based on the table context"")"),"NIIST-023")</f>
        <v>NIIST-023</v>
      </c>
      <c r="B17" s="8" t="s">
        <v>1208</v>
      </c>
      <c r="C17" s="9" t="s">
        <v>236</v>
      </c>
      <c r="D17" s="9" t="s">
        <v>31</v>
      </c>
      <c r="E17" s="15" t="s">
        <v>1135</v>
      </c>
      <c r="F17" s="7" t="s">
        <v>1209</v>
      </c>
      <c r="G17" s="8" t="s">
        <v>1210</v>
      </c>
      <c r="H17" s="8" t="s">
        <v>1211</v>
      </c>
      <c r="I17" s="9" t="s">
        <v>26</v>
      </c>
      <c r="J17" s="9" t="s">
        <v>26</v>
      </c>
      <c r="K17" s="9" t="s">
        <v>26</v>
      </c>
      <c r="L17" s="28" t="s">
        <v>1115</v>
      </c>
      <c r="M17" s="15" t="s">
        <v>1116</v>
      </c>
      <c r="N17" s="7" t="s">
        <v>1117</v>
      </c>
      <c r="O17" s="10">
        <v>14.0</v>
      </c>
      <c r="P17" s="7" t="s">
        <v>1212</v>
      </c>
      <c r="Q17" s="7" t="s">
        <v>26</v>
      </c>
      <c r="R17" s="13" t="s">
        <v>2172</v>
      </c>
    </row>
    <row r="18" ht="22.5" customHeight="1">
      <c r="A18" s="30" t="str">
        <f>IFERROR(__xludf.DUMMYFUNCTION("AI(""Fill an appropriate value for this cell based on the table context"")"),"NIIST-017")</f>
        <v>NIIST-017</v>
      </c>
      <c r="B18" s="8" t="s">
        <v>1214</v>
      </c>
      <c r="C18" s="9" t="s">
        <v>236</v>
      </c>
      <c r="D18" s="9" t="s">
        <v>183</v>
      </c>
      <c r="E18" s="15" t="s">
        <v>1202</v>
      </c>
      <c r="F18" s="7" t="s">
        <v>1215</v>
      </c>
      <c r="G18" s="8" t="s">
        <v>1216</v>
      </c>
      <c r="H18" s="8" t="s">
        <v>1217</v>
      </c>
      <c r="I18" s="9" t="s">
        <v>26</v>
      </c>
      <c r="J18" s="9" t="s">
        <v>26</v>
      </c>
      <c r="K18" s="9" t="s">
        <v>26</v>
      </c>
      <c r="L18" s="28" t="s">
        <v>1115</v>
      </c>
      <c r="M18" s="15" t="s">
        <v>1116</v>
      </c>
      <c r="N18" s="7" t="s">
        <v>1117</v>
      </c>
      <c r="O18" s="10">
        <v>7.0</v>
      </c>
      <c r="P18" s="7" t="s">
        <v>1218</v>
      </c>
      <c r="Q18" s="7" t="s">
        <v>26</v>
      </c>
      <c r="R18" s="13" t="s">
        <v>2172</v>
      </c>
    </row>
    <row r="19" ht="22.5" customHeight="1">
      <c r="A19" s="30" t="str">
        <f>IFERROR(__xludf.DUMMYFUNCTION("AI(""Fill an appropriate value for this cell based on the table context"")"),"NIIST-018")</f>
        <v>NIIST-018</v>
      </c>
      <c r="B19" s="8" t="s">
        <v>1220</v>
      </c>
      <c r="C19" s="9" t="s">
        <v>236</v>
      </c>
      <c r="D19" s="9" t="s">
        <v>31</v>
      </c>
      <c r="E19" s="15" t="s">
        <v>1135</v>
      </c>
      <c r="F19" s="8" t="s">
        <v>1221</v>
      </c>
      <c r="G19" s="8" t="s">
        <v>1222</v>
      </c>
      <c r="H19" s="7" t="s">
        <v>1223</v>
      </c>
      <c r="I19" s="9" t="s">
        <v>26</v>
      </c>
      <c r="J19" s="9" t="s">
        <v>26</v>
      </c>
      <c r="K19" s="9" t="s">
        <v>26</v>
      </c>
      <c r="L19" s="28" t="s">
        <v>1115</v>
      </c>
      <c r="M19" s="15" t="s">
        <v>1116</v>
      </c>
      <c r="N19" s="7" t="s">
        <v>1117</v>
      </c>
      <c r="O19" s="10" t="s">
        <v>26</v>
      </c>
      <c r="P19" s="7" t="s">
        <v>1224</v>
      </c>
      <c r="Q19" s="7" t="s">
        <v>26</v>
      </c>
      <c r="R19" s="13" t="s">
        <v>2172</v>
      </c>
    </row>
    <row r="20" ht="22.5" customHeight="1">
      <c r="A20" s="30" t="str">
        <f>IFERROR(__xludf.DUMMYFUNCTION("AI(""Fill an appropriate value for this cell based on the table context"")"),"NIIST-008")</f>
        <v>NIIST-008</v>
      </c>
      <c r="B20" s="8" t="s">
        <v>1226</v>
      </c>
      <c r="C20" s="9" t="s">
        <v>236</v>
      </c>
      <c r="D20" s="9" t="s">
        <v>31</v>
      </c>
      <c r="E20" s="15" t="s">
        <v>1135</v>
      </c>
      <c r="F20" s="7" t="s">
        <v>1227</v>
      </c>
      <c r="G20" s="8" t="s">
        <v>1228</v>
      </c>
      <c r="H20" s="7" t="s">
        <v>1229</v>
      </c>
      <c r="I20" s="9" t="s">
        <v>26</v>
      </c>
      <c r="J20" s="9" t="s">
        <v>26</v>
      </c>
      <c r="K20" s="9" t="s">
        <v>26</v>
      </c>
      <c r="L20" s="28" t="s">
        <v>1115</v>
      </c>
      <c r="M20" s="15" t="s">
        <v>1116</v>
      </c>
      <c r="N20" s="7" t="s">
        <v>1117</v>
      </c>
      <c r="O20" s="10" t="s">
        <v>26</v>
      </c>
      <c r="P20" s="7" t="s">
        <v>1230</v>
      </c>
      <c r="Q20" s="7" t="s">
        <v>26</v>
      </c>
      <c r="R20" s="13" t="s">
        <v>2172</v>
      </c>
    </row>
    <row r="21" ht="22.5" customHeight="1">
      <c r="A21" s="30" t="str">
        <f>IFERROR(__xludf.DUMMYFUNCTION("AI(""Fill an appropriate value for this cell based on the table context"")"),"NIIST-020")</f>
        <v>NIIST-020</v>
      </c>
      <c r="B21" s="8" t="s">
        <v>1232</v>
      </c>
      <c r="C21" s="9" t="s">
        <v>236</v>
      </c>
      <c r="D21" s="9" t="s">
        <v>31</v>
      </c>
      <c r="E21" s="15" t="s">
        <v>1135</v>
      </c>
      <c r="F21" s="7" t="s">
        <v>1233</v>
      </c>
      <c r="G21" s="8" t="s">
        <v>1234</v>
      </c>
      <c r="H21" s="7" t="s">
        <v>1235</v>
      </c>
      <c r="I21" s="9" t="s">
        <v>26</v>
      </c>
      <c r="J21" s="9" t="s">
        <v>26</v>
      </c>
      <c r="K21" s="9" t="s">
        <v>26</v>
      </c>
      <c r="L21" s="28" t="s">
        <v>1115</v>
      </c>
      <c r="M21" s="15" t="s">
        <v>1116</v>
      </c>
      <c r="N21" s="7" t="s">
        <v>1117</v>
      </c>
      <c r="O21" s="10" t="s">
        <v>26</v>
      </c>
      <c r="P21" s="7" t="s">
        <v>1236</v>
      </c>
      <c r="Q21" s="7" t="s">
        <v>26</v>
      </c>
      <c r="R21" s="13" t="s">
        <v>2172</v>
      </c>
    </row>
    <row r="22" ht="22.5" customHeight="1">
      <c r="A22" s="30" t="str">
        <f>IFERROR(__xludf.DUMMYFUNCTION("AI(""Fill an appropriate value for this cell based on the table context"")"),"NIIST-008")</f>
        <v>NIIST-008</v>
      </c>
      <c r="B22" s="8" t="s">
        <v>1238</v>
      </c>
      <c r="C22" s="9" t="s">
        <v>236</v>
      </c>
      <c r="D22" s="9" t="s">
        <v>31</v>
      </c>
      <c r="E22" s="15" t="s">
        <v>1135</v>
      </c>
      <c r="F22" s="7" t="s">
        <v>1239</v>
      </c>
      <c r="G22" s="8" t="s">
        <v>1240</v>
      </c>
      <c r="H22" s="7" t="s">
        <v>1241</v>
      </c>
      <c r="I22" s="9" t="s">
        <v>26</v>
      </c>
      <c r="J22" s="9" t="s">
        <v>26</v>
      </c>
      <c r="K22" s="9" t="s">
        <v>26</v>
      </c>
      <c r="L22" s="28" t="s">
        <v>1115</v>
      </c>
      <c r="M22" s="15" t="s">
        <v>1116</v>
      </c>
      <c r="N22" s="7" t="s">
        <v>1117</v>
      </c>
      <c r="O22" s="10" t="s">
        <v>26</v>
      </c>
      <c r="P22" s="7" t="s">
        <v>1242</v>
      </c>
      <c r="Q22" s="7" t="s">
        <v>26</v>
      </c>
      <c r="R22" s="13" t="s">
        <v>2172</v>
      </c>
    </row>
    <row r="23" ht="22.5" customHeight="1">
      <c r="A23" s="30" t="str">
        <f>IFERROR(__xludf.DUMMYFUNCTION("AI(""Fill an appropriate value for this cell based on the table context"")"),"NIIST-022")</f>
        <v>NIIST-022</v>
      </c>
      <c r="B23" s="8" t="s">
        <v>1244</v>
      </c>
      <c r="C23" s="9" t="s">
        <v>236</v>
      </c>
      <c r="D23" s="9" t="s">
        <v>31</v>
      </c>
      <c r="E23" s="15" t="s">
        <v>32</v>
      </c>
      <c r="F23" s="7" t="s">
        <v>1245</v>
      </c>
      <c r="G23" s="8" t="s">
        <v>1246</v>
      </c>
      <c r="H23" s="7" t="s">
        <v>1247</v>
      </c>
      <c r="I23" s="9" t="s">
        <v>26</v>
      </c>
      <c r="J23" s="9" t="s">
        <v>26</v>
      </c>
      <c r="K23" s="9" t="s">
        <v>26</v>
      </c>
      <c r="L23" s="28" t="s">
        <v>1115</v>
      </c>
      <c r="M23" s="15" t="s">
        <v>1116</v>
      </c>
      <c r="N23" s="7" t="s">
        <v>1117</v>
      </c>
      <c r="O23" s="10">
        <v>12.0</v>
      </c>
      <c r="P23" s="7" t="s">
        <v>1248</v>
      </c>
      <c r="Q23" s="7" t="s">
        <v>26</v>
      </c>
      <c r="R23" s="13" t="s">
        <v>2172</v>
      </c>
    </row>
    <row r="24" ht="22.5" customHeight="1">
      <c r="A24" s="30" t="str">
        <f>IFERROR(__xludf.DUMMYFUNCTION("AI(""Fill an appropriate value for this cell based on the table context"")"),"NIIST-030")</f>
        <v>NIIST-030</v>
      </c>
      <c r="B24" s="8" t="s">
        <v>1249</v>
      </c>
      <c r="C24" s="9" t="s">
        <v>236</v>
      </c>
      <c r="D24" s="9" t="s">
        <v>31</v>
      </c>
      <c r="E24" s="15" t="s">
        <v>32</v>
      </c>
      <c r="F24" s="7" t="s">
        <v>1250</v>
      </c>
      <c r="G24" s="8" t="s">
        <v>1251</v>
      </c>
      <c r="H24" s="7" t="s">
        <v>1252</v>
      </c>
      <c r="I24" s="9" t="s">
        <v>26</v>
      </c>
      <c r="J24" s="9" t="s">
        <v>26</v>
      </c>
      <c r="K24" s="9" t="s">
        <v>26</v>
      </c>
      <c r="L24" s="28" t="s">
        <v>1115</v>
      </c>
      <c r="M24" s="15" t="s">
        <v>1116</v>
      </c>
      <c r="N24" s="7" t="s">
        <v>1117</v>
      </c>
      <c r="O24" s="10">
        <v>12.0</v>
      </c>
      <c r="P24" s="7" t="s">
        <v>1253</v>
      </c>
      <c r="Q24" s="7" t="s">
        <v>26</v>
      </c>
      <c r="R24" s="13" t="s">
        <v>2172</v>
      </c>
    </row>
    <row r="25" ht="22.5" customHeight="1">
      <c r="A25" s="30" t="str">
        <f>IFERROR(__xludf.DUMMYFUNCTION("AI(""Fill an appropriate value for this cell based on the table context"")"),"NIIST-024")</f>
        <v>NIIST-024</v>
      </c>
      <c r="B25" s="8" t="s">
        <v>1255</v>
      </c>
      <c r="C25" s="9" t="s">
        <v>236</v>
      </c>
      <c r="D25" s="9" t="s">
        <v>31</v>
      </c>
      <c r="E25" s="15" t="s">
        <v>1256</v>
      </c>
      <c r="F25" s="7" t="s">
        <v>1257</v>
      </c>
      <c r="G25" s="8" t="s">
        <v>1258</v>
      </c>
      <c r="H25" s="7" t="s">
        <v>1259</v>
      </c>
      <c r="I25" s="9" t="s">
        <v>26</v>
      </c>
      <c r="J25" s="9" t="s">
        <v>26</v>
      </c>
      <c r="K25" s="9" t="s">
        <v>26</v>
      </c>
      <c r="L25" s="28" t="s">
        <v>1115</v>
      </c>
      <c r="M25" s="15" t="s">
        <v>1116</v>
      </c>
      <c r="N25" s="7" t="s">
        <v>1117</v>
      </c>
      <c r="O25" s="10">
        <v>9.0</v>
      </c>
      <c r="P25" s="7" t="s">
        <v>1260</v>
      </c>
      <c r="Q25" s="7" t="s">
        <v>26</v>
      </c>
      <c r="R25" s="13" t="s">
        <v>2172</v>
      </c>
    </row>
    <row r="26" ht="22.5" customHeight="1">
      <c r="A26" s="30" t="str">
        <f>IFERROR(__xludf.DUMMYFUNCTION("AI(""Fill an appropriate value for this cell based on the table context"")"),"NIIST-025")</f>
        <v>NIIST-025</v>
      </c>
      <c r="B26" s="8" t="s">
        <v>1262</v>
      </c>
      <c r="C26" s="9" t="s">
        <v>236</v>
      </c>
      <c r="D26" s="9" t="s">
        <v>31</v>
      </c>
      <c r="E26" s="15" t="s">
        <v>1135</v>
      </c>
      <c r="F26" s="7" t="s">
        <v>1263</v>
      </c>
      <c r="G26" s="8" t="s">
        <v>1264</v>
      </c>
      <c r="H26" s="7" t="s">
        <v>1265</v>
      </c>
      <c r="I26" s="9" t="s">
        <v>26</v>
      </c>
      <c r="J26" s="9" t="s">
        <v>26</v>
      </c>
      <c r="K26" s="9" t="s">
        <v>26</v>
      </c>
      <c r="L26" s="28" t="s">
        <v>1115</v>
      </c>
      <c r="M26" s="15" t="s">
        <v>1116</v>
      </c>
      <c r="N26" s="7" t="s">
        <v>1117</v>
      </c>
      <c r="O26" s="10">
        <v>9.0</v>
      </c>
      <c r="P26" s="7" t="s">
        <v>1266</v>
      </c>
      <c r="Q26" s="7" t="s">
        <v>26</v>
      </c>
      <c r="R26" s="13" t="s">
        <v>2172</v>
      </c>
    </row>
    <row r="27" ht="22.5" customHeight="1">
      <c r="A27" s="30" t="str">
        <f>IFERROR(__xludf.DUMMYFUNCTION("AI(""Fill an appropriate value for this cell based on the table context"")"),"NIIST-026")</f>
        <v>NIIST-026</v>
      </c>
      <c r="B27" s="8" t="s">
        <v>1268</v>
      </c>
      <c r="C27" s="9" t="s">
        <v>236</v>
      </c>
      <c r="D27" s="9" t="s">
        <v>31</v>
      </c>
      <c r="E27" s="15" t="s">
        <v>1135</v>
      </c>
      <c r="F27" s="7" t="s">
        <v>1269</v>
      </c>
      <c r="G27" s="8" t="s">
        <v>1270</v>
      </c>
      <c r="H27" s="7" t="s">
        <v>1271</v>
      </c>
      <c r="I27" s="9" t="s">
        <v>26</v>
      </c>
      <c r="J27" s="9" t="s">
        <v>26</v>
      </c>
      <c r="K27" s="9" t="s">
        <v>26</v>
      </c>
      <c r="L27" s="28" t="s">
        <v>1115</v>
      </c>
      <c r="M27" s="15" t="s">
        <v>1116</v>
      </c>
      <c r="N27" s="7" t="s">
        <v>1117</v>
      </c>
      <c r="O27" s="10">
        <v>10.0</v>
      </c>
      <c r="P27" s="7" t="s">
        <v>1272</v>
      </c>
      <c r="Q27" s="7" t="s">
        <v>26</v>
      </c>
      <c r="R27" s="13" t="s">
        <v>2172</v>
      </c>
    </row>
    <row r="28" ht="22.5" customHeight="1">
      <c r="A28" s="30" t="str">
        <f>IFERROR(__xludf.DUMMYFUNCTION("AI(""Fill an appropriate value for this cell based on the table context"")"),"NIIST-027")</f>
        <v>NIIST-027</v>
      </c>
      <c r="B28" s="8" t="s">
        <v>1274</v>
      </c>
      <c r="C28" s="9" t="s">
        <v>236</v>
      </c>
      <c r="D28" s="9" t="s">
        <v>183</v>
      </c>
      <c r="E28" s="15" t="s">
        <v>1275</v>
      </c>
      <c r="F28" s="7" t="s">
        <v>1276</v>
      </c>
      <c r="G28" s="8" t="s">
        <v>1277</v>
      </c>
      <c r="H28" s="7" t="s">
        <v>1278</v>
      </c>
      <c r="I28" s="9" t="s">
        <v>26</v>
      </c>
      <c r="J28" s="9" t="s">
        <v>26</v>
      </c>
      <c r="K28" s="9" t="s">
        <v>26</v>
      </c>
      <c r="L28" s="28" t="s">
        <v>1115</v>
      </c>
      <c r="M28" s="15" t="s">
        <v>1116</v>
      </c>
      <c r="N28" s="7" t="s">
        <v>1117</v>
      </c>
      <c r="O28" s="10">
        <v>10.0</v>
      </c>
      <c r="P28" s="7" t="s">
        <v>1279</v>
      </c>
      <c r="Q28" s="7" t="s">
        <v>26</v>
      </c>
      <c r="R28" s="13" t="s">
        <v>2172</v>
      </c>
    </row>
    <row r="29" ht="22.5" customHeight="1">
      <c r="A29" s="30" t="str">
        <f>IFERROR(__xludf.DUMMYFUNCTION("AI(""Fill an appropriate value for this cell based on the table context"")"),"NIIST-009")</f>
        <v>NIIST-009</v>
      </c>
      <c r="B29" s="8" t="s">
        <v>1281</v>
      </c>
      <c r="C29" s="9" t="s">
        <v>236</v>
      </c>
      <c r="D29" s="9" t="s">
        <v>31</v>
      </c>
      <c r="E29" s="15" t="s">
        <v>1135</v>
      </c>
      <c r="F29" s="7" t="s">
        <v>1282</v>
      </c>
      <c r="G29" s="8" t="s">
        <v>1283</v>
      </c>
      <c r="H29" s="7" t="s">
        <v>1284</v>
      </c>
      <c r="I29" s="9" t="s">
        <v>26</v>
      </c>
      <c r="J29" s="9" t="s">
        <v>26</v>
      </c>
      <c r="K29" s="9" t="s">
        <v>26</v>
      </c>
      <c r="L29" s="28" t="s">
        <v>1115</v>
      </c>
      <c r="M29" s="15" t="s">
        <v>1116</v>
      </c>
      <c r="N29" s="7" t="s">
        <v>1117</v>
      </c>
      <c r="O29" s="10">
        <v>11.0</v>
      </c>
      <c r="P29" s="7" t="s">
        <v>1285</v>
      </c>
      <c r="Q29" s="7" t="s">
        <v>26</v>
      </c>
      <c r="R29" s="13" t="s">
        <v>2172</v>
      </c>
    </row>
    <row r="30" ht="22.5" customHeight="1">
      <c r="A30" s="30" t="str">
        <f>IFERROR(__xludf.DUMMYFUNCTION("AI(""Fill an appropriate value for this cell based on the table context"")"),"NIIST-008")</f>
        <v>NIIST-008</v>
      </c>
      <c r="B30" s="8" t="s">
        <v>1287</v>
      </c>
      <c r="C30" s="9" t="s">
        <v>236</v>
      </c>
      <c r="D30" s="9" t="s">
        <v>31</v>
      </c>
      <c r="E30" s="15" t="s">
        <v>1135</v>
      </c>
      <c r="F30" s="7" t="s">
        <v>1288</v>
      </c>
      <c r="G30" s="8" t="s">
        <v>1289</v>
      </c>
      <c r="H30" s="7" t="s">
        <v>1290</v>
      </c>
      <c r="I30" s="9" t="s">
        <v>26</v>
      </c>
      <c r="J30" s="9" t="s">
        <v>26</v>
      </c>
      <c r="K30" s="9" t="s">
        <v>26</v>
      </c>
      <c r="L30" s="28" t="s">
        <v>1115</v>
      </c>
      <c r="M30" s="15" t="s">
        <v>1116</v>
      </c>
      <c r="N30" s="7" t="s">
        <v>1117</v>
      </c>
      <c r="O30" s="10">
        <v>11.0</v>
      </c>
      <c r="P30" s="7" t="s">
        <v>1291</v>
      </c>
      <c r="Q30" s="7" t="s">
        <v>26</v>
      </c>
      <c r="R30" s="13" t="s">
        <v>2172</v>
      </c>
    </row>
    <row r="31" ht="22.5" customHeight="1">
      <c r="A31" s="30" t="str">
        <f>IFERROR(__xludf.DUMMYFUNCTION("AI(""Fill an appropriate value for this cell based on the table context"")"),"NCRMI-001")</f>
        <v>NCRMI-001</v>
      </c>
      <c r="B31" s="8" t="s">
        <v>1292</v>
      </c>
      <c r="C31" s="9" t="s">
        <v>1293</v>
      </c>
      <c r="D31" s="9" t="s">
        <v>183</v>
      </c>
      <c r="E31" s="15" t="s">
        <v>1294</v>
      </c>
      <c r="F31" s="7" t="s">
        <v>1295</v>
      </c>
      <c r="G31" s="8" t="s">
        <v>1296</v>
      </c>
      <c r="H31" s="7" t="s">
        <v>1297</v>
      </c>
      <c r="I31" s="9" t="s">
        <v>26</v>
      </c>
      <c r="J31" s="9" t="s">
        <v>26</v>
      </c>
      <c r="K31" s="9" t="s">
        <v>26</v>
      </c>
      <c r="L31" s="28" t="s">
        <v>26</v>
      </c>
      <c r="M31" s="15" t="s">
        <v>1298</v>
      </c>
      <c r="N31" s="7" t="s">
        <v>1299</v>
      </c>
      <c r="O31" s="10">
        <v>5.0</v>
      </c>
      <c r="P31" s="7" t="s">
        <v>1300</v>
      </c>
      <c r="Q31" s="7" t="s">
        <v>26</v>
      </c>
      <c r="R31" s="13" t="s">
        <v>2183</v>
      </c>
    </row>
    <row r="32" ht="22.5" customHeight="1">
      <c r="A32" s="30" t="str">
        <f>IFERROR(__xludf.DUMMYFUNCTION("AI(""Fill an appropriate value for this cell based on the table context"")"),"NCRMI-002")</f>
        <v>NCRMI-002</v>
      </c>
      <c r="B32" s="8" t="s">
        <v>1301</v>
      </c>
      <c r="C32" s="9" t="s">
        <v>1293</v>
      </c>
      <c r="D32" s="9" t="s">
        <v>252</v>
      </c>
      <c r="E32" s="15" t="s">
        <v>1302</v>
      </c>
      <c r="F32" s="7" t="s">
        <v>1303</v>
      </c>
      <c r="G32" s="8" t="s">
        <v>1304</v>
      </c>
      <c r="H32" s="7" t="s">
        <v>1305</v>
      </c>
      <c r="I32" s="9" t="s">
        <v>26</v>
      </c>
      <c r="J32" s="9" t="s">
        <v>26</v>
      </c>
      <c r="K32" s="9" t="s">
        <v>26</v>
      </c>
      <c r="L32" s="28" t="s">
        <v>26</v>
      </c>
      <c r="M32" s="15" t="s">
        <v>1298</v>
      </c>
      <c r="N32" s="7" t="s">
        <v>1299</v>
      </c>
      <c r="O32" s="10">
        <v>7.0</v>
      </c>
      <c r="P32" s="7" t="s">
        <v>1306</v>
      </c>
      <c r="Q32" s="7" t="s">
        <v>26</v>
      </c>
      <c r="R32" s="13" t="s">
        <v>2183</v>
      </c>
    </row>
    <row r="33" ht="22.5" customHeight="1">
      <c r="A33" s="30" t="str">
        <f>IFERROR(__xludf.DUMMYFUNCTION("AI(""Fill an appropriate value for this cell based on the table context"")"),"NCRMI-002")</f>
        <v>NCRMI-002</v>
      </c>
      <c r="B33" s="8" t="s">
        <v>1308</v>
      </c>
      <c r="C33" s="9" t="s">
        <v>1293</v>
      </c>
      <c r="D33" s="9" t="s">
        <v>183</v>
      </c>
      <c r="E33" s="15" t="s">
        <v>1309</v>
      </c>
      <c r="F33" s="7" t="s">
        <v>1310</v>
      </c>
      <c r="G33" s="8" t="s">
        <v>1311</v>
      </c>
      <c r="H33" s="7" t="s">
        <v>1312</v>
      </c>
      <c r="I33" s="9" t="s">
        <v>26</v>
      </c>
      <c r="J33" s="9" t="s">
        <v>26</v>
      </c>
      <c r="K33" s="9" t="s">
        <v>26</v>
      </c>
      <c r="L33" s="28" t="s">
        <v>26</v>
      </c>
      <c r="M33" s="15" t="s">
        <v>1298</v>
      </c>
      <c r="N33" s="7" t="s">
        <v>1299</v>
      </c>
      <c r="O33" s="10">
        <v>3.0</v>
      </c>
      <c r="P33" s="7" t="s">
        <v>1313</v>
      </c>
      <c r="Q33" s="7" t="s">
        <v>26</v>
      </c>
      <c r="R33" s="13" t="s">
        <v>2183</v>
      </c>
    </row>
    <row r="34" ht="22.5" customHeight="1">
      <c r="B34" s="8"/>
      <c r="C34" s="61"/>
      <c r="D34" s="61"/>
      <c r="E34" s="85"/>
      <c r="G34" s="8"/>
      <c r="I34" s="61"/>
      <c r="J34" s="61"/>
      <c r="K34" s="61"/>
      <c r="L34" s="86"/>
      <c r="M34" s="85"/>
      <c r="O34" s="10"/>
    </row>
    <row r="35" ht="22.5" customHeight="1">
      <c r="B35" s="8"/>
      <c r="C35" s="61"/>
      <c r="D35" s="61"/>
      <c r="E35" s="85"/>
      <c r="G35" s="8"/>
      <c r="I35" s="61"/>
      <c r="J35" s="61"/>
      <c r="K35" s="61"/>
      <c r="L35" s="86"/>
      <c r="M35" s="85"/>
      <c r="O35" s="10"/>
    </row>
    <row r="36" ht="22.5" customHeight="1">
      <c r="B36" s="8"/>
      <c r="C36" s="61"/>
      <c r="D36" s="61"/>
      <c r="E36" s="85"/>
      <c r="G36" s="8"/>
      <c r="I36" s="61"/>
      <c r="J36" s="61"/>
      <c r="K36" s="61"/>
      <c r="L36" s="86"/>
      <c r="M36" s="85"/>
      <c r="O36" s="10"/>
    </row>
    <row r="37" ht="22.5" customHeight="1">
      <c r="B37" s="8"/>
      <c r="C37" s="61"/>
      <c r="D37" s="61"/>
      <c r="E37" s="85"/>
      <c r="G37" s="8"/>
      <c r="I37" s="61"/>
      <c r="J37" s="61"/>
      <c r="K37" s="61"/>
      <c r="L37" s="86"/>
      <c r="M37" s="85"/>
      <c r="O37" s="10"/>
    </row>
    <row r="38" ht="22.5" customHeight="1">
      <c r="B38" s="8"/>
      <c r="C38" s="61"/>
      <c r="D38" s="61"/>
      <c r="E38" s="85"/>
      <c r="G38" s="8"/>
      <c r="I38" s="61"/>
      <c r="J38" s="61"/>
      <c r="K38" s="61"/>
      <c r="L38" s="86"/>
      <c r="M38" s="85"/>
      <c r="O38" s="10"/>
    </row>
    <row r="39" ht="22.5" customHeight="1">
      <c r="B39" s="8"/>
      <c r="C39" s="61"/>
      <c r="D39" s="61"/>
      <c r="E39" s="85"/>
      <c r="G39" s="8"/>
      <c r="I39" s="61"/>
      <c r="J39" s="61"/>
      <c r="K39" s="61"/>
      <c r="L39" s="86"/>
      <c r="M39" s="85"/>
      <c r="O39" s="10"/>
    </row>
    <row r="40" ht="22.5" customHeight="1">
      <c r="B40" s="8"/>
      <c r="C40" s="61"/>
      <c r="D40" s="61"/>
      <c r="E40" s="85"/>
      <c r="G40" s="8"/>
      <c r="I40" s="61"/>
      <c r="J40" s="61"/>
      <c r="K40" s="61"/>
      <c r="L40" s="86"/>
      <c r="M40" s="85"/>
      <c r="O40" s="10"/>
    </row>
    <row r="41" ht="22.5" customHeight="1">
      <c r="B41" s="8"/>
      <c r="C41" s="61"/>
      <c r="D41" s="61"/>
      <c r="E41" s="85"/>
      <c r="F41" s="8"/>
      <c r="G41" s="8"/>
      <c r="I41" s="61"/>
      <c r="J41" s="61"/>
      <c r="K41" s="61"/>
      <c r="L41" s="86"/>
      <c r="M41" s="85"/>
      <c r="O41" s="10"/>
      <c r="Q41" s="29"/>
    </row>
    <row r="42" ht="22.5" customHeight="1">
      <c r="B42" s="8"/>
      <c r="C42" s="61"/>
      <c r="D42" s="61"/>
      <c r="E42" s="85"/>
      <c r="G42" s="8"/>
      <c r="I42" s="61"/>
      <c r="J42" s="61"/>
      <c r="K42" s="61"/>
      <c r="L42" s="86"/>
      <c r="M42" s="85"/>
      <c r="O42" s="10"/>
      <c r="Q42" s="29"/>
    </row>
    <row r="43" ht="22.5" customHeight="1">
      <c r="B43" s="8"/>
      <c r="C43" s="61"/>
      <c r="D43" s="61"/>
      <c r="E43" s="85"/>
      <c r="G43" s="8"/>
      <c r="I43" s="61"/>
      <c r="J43" s="61"/>
      <c r="K43" s="61"/>
      <c r="L43" s="86"/>
      <c r="M43" s="85"/>
      <c r="O43" s="10"/>
      <c r="Q43" s="29"/>
    </row>
    <row r="44" ht="22.5" customHeight="1">
      <c r="B44" s="8"/>
      <c r="C44" s="61"/>
      <c r="D44" s="61"/>
      <c r="E44" s="85"/>
      <c r="G44" s="8"/>
      <c r="I44" s="61"/>
      <c r="J44" s="61"/>
      <c r="K44" s="61"/>
      <c r="L44" s="86"/>
      <c r="M44" s="85"/>
      <c r="O44" s="10"/>
      <c r="Q44" s="29"/>
    </row>
    <row r="45" ht="22.5" customHeight="1">
      <c r="B45" s="8"/>
      <c r="C45" s="61"/>
      <c r="D45" s="61"/>
      <c r="E45" s="85"/>
      <c r="G45" s="8"/>
      <c r="I45" s="61"/>
      <c r="J45" s="61"/>
      <c r="K45" s="61"/>
      <c r="L45" s="86"/>
      <c r="M45" s="85"/>
      <c r="O45" s="10"/>
    </row>
    <row r="46" ht="22.5" customHeight="1">
      <c r="B46" s="8"/>
      <c r="C46" s="61"/>
      <c r="D46" s="61"/>
      <c r="E46" s="85"/>
      <c r="G46" s="8"/>
      <c r="I46" s="61"/>
      <c r="J46" s="61"/>
      <c r="K46" s="61"/>
      <c r="L46" s="86"/>
      <c r="M46" s="85"/>
      <c r="O46" s="10"/>
      <c r="Q46" s="29"/>
    </row>
    <row r="47" ht="22.5" customHeight="1">
      <c r="B47" s="8"/>
      <c r="C47" s="61"/>
      <c r="D47" s="61"/>
      <c r="E47" s="85"/>
      <c r="G47" s="8"/>
      <c r="I47" s="61"/>
      <c r="J47" s="61"/>
      <c r="K47" s="61"/>
      <c r="L47" s="86"/>
      <c r="M47" s="85"/>
      <c r="O47" s="10"/>
    </row>
    <row r="48" ht="22.5" customHeight="1">
      <c r="B48" s="8"/>
      <c r="C48" s="61"/>
      <c r="D48" s="61"/>
      <c r="E48" s="85"/>
      <c r="G48" s="8"/>
      <c r="I48" s="61"/>
      <c r="J48" s="61"/>
      <c r="K48" s="61"/>
      <c r="L48" s="86"/>
      <c r="M48" s="85"/>
      <c r="O48" s="10"/>
    </row>
    <row r="49" ht="22.5" customHeight="1">
      <c r="B49" s="8"/>
      <c r="C49" s="61"/>
      <c r="D49" s="61"/>
      <c r="E49" s="85"/>
      <c r="G49" s="8"/>
      <c r="I49" s="61"/>
      <c r="J49" s="61"/>
      <c r="K49" s="61"/>
      <c r="L49" s="86"/>
      <c r="M49" s="85"/>
      <c r="O49" s="10"/>
    </row>
    <row r="50" ht="22.5" customHeight="1">
      <c r="B50" s="8"/>
      <c r="C50" s="61"/>
      <c r="D50" s="61"/>
      <c r="E50" s="85"/>
      <c r="G50" s="8"/>
      <c r="I50" s="61"/>
      <c r="J50" s="61"/>
      <c r="K50" s="61"/>
      <c r="L50" s="86"/>
      <c r="M50" s="85"/>
      <c r="O50" s="10"/>
    </row>
    <row r="51" ht="22.5" customHeight="1">
      <c r="B51" s="8"/>
      <c r="C51" s="61"/>
      <c r="D51" s="61"/>
      <c r="E51" s="85"/>
      <c r="G51" s="8"/>
      <c r="I51" s="61"/>
      <c r="J51" s="61"/>
      <c r="K51" s="61"/>
      <c r="L51" s="86"/>
      <c r="M51" s="85"/>
      <c r="O51" s="10"/>
    </row>
    <row r="52" ht="22.5" customHeight="1">
      <c r="B52" s="8"/>
      <c r="C52" s="61"/>
      <c r="D52" s="61"/>
      <c r="E52" s="85"/>
      <c r="G52" s="8"/>
      <c r="I52" s="61"/>
      <c r="J52" s="61"/>
      <c r="K52" s="61"/>
      <c r="L52" s="86"/>
      <c r="M52" s="85"/>
      <c r="O52" s="10"/>
    </row>
    <row r="53" ht="22.5" customHeight="1">
      <c r="B53" s="8"/>
      <c r="C53" s="61"/>
      <c r="D53" s="61"/>
      <c r="E53" s="85"/>
      <c r="G53" s="8"/>
      <c r="I53" s="61"/>
      <c r="J53" s="61"/>
      <c r="K53" s="61"/>
      <c r="L53" s="86"/>
      <c r="M53" s="85"/>
      <c r="O53" s="10"/>
    </row>
    <row r="54" ht="22.5" customHeight="1">
      <c r="B54" s="8"/>
      <c r="C54" s="61"/>
      <c r="D54" s="61"/>
      <c r="E54" s="85"/>
      <c r="G54" s="8"/>
      <c r="I54" s="61"/>
      <c r="J54" s="61"/>
      <c r="K54" s="61"/>
      <c r="L54" s="86"/>
      <c r="M54" s="85"/>
      <c r="O54" s="10"/>
    </row>
    <row r="55" ht="22.5" customHeight="1">
      <c r="B55" s="8"/>
      <c r="C55" s="61"/>
      <c r="D55" s="61"/>
      <c r="E55" s="85"/>
      <c r="G55" s="8"/>
      <c r="I55" s="61"/>
      <c r="J55" s="61"/>
      <c r="K55" s="61"/>
      <c r="L55" s="86"/>
      <c r="M55" s="85"/>
      <c r="O55" s="10"/>
    </row>
    <row r="56" ht="22.5" customHeight="1">
      <c r="B56" s="8"/>
      <c r="C56" s="61"/>
      <c r="D56" s="61"/>
      <c r="E56" s="85"/>
      <c r="G56" s="8"/>
      <c r="I56" s="61"/>
      <c r="J56" s="61"/>
      <c r="K56" s="61"/>
      <c r="L56" s="86"/>
      <c r="M56" s="85"/>
      <c r="O56" s="10"/>
    </row>
    <row r="57" ht="22.5" customHeight="1">
      <c r="B57" s="8"/>
      <c r="C57" s="61"/>
      <c r="D57" s="61"/>
      <c r="E57" s="85"/>
      <c r="G57" s="8"/>
      <c r="I57" s="61"/>
      <c r="J57" s="61"/>
      <c r="K57" s="61"/>
      <c r="L57" s="86"/>
      <c r="M57" s="85"/>
      <c r="O57" s="10"/>
    </row>
    <row r="58" ht="22.5" customHeight="1">
      <c r="B58" s="8"/>
      <c r="C58" s="61"/>
      <c r="D58" s="61"/>
      <c r="E58" s="85"/>
      <c r="G58" s="8"/>
      <c r="I58" s="61"/>
      <c r="J58" s="61"/>
      <c r="K58" s="61"/>
      <c r="L58" s="86"/>
      <c r="M58" s="85"/>
      <c r="O58" s="10"/>
    </row>
    <row r="59" ht="22.5" customHeight="1">
      <c r="B59" s="8"/>
      <c r="C59" s="61"/>
      <c r="D59" s="61"/>
      <c r="E59" s="85"/>
      <c r="F59" s="8"/>
      <c r="G59" s="8"/>
      <c r="I59" s="61"/>
      <c r="J59" s="61"/>
      <c r="K59" s="61"/>
      <c r="L59" s="86"/>
      <c r="M59" s="85"/>
      <c r="O59" s="10"/>
    </row>
    <row r="60" ht="22.5" customHeight="1">
      <c r="B60" s="8"/>
      <c r="C60" s="61"/>
      <c r="D60" s="61"/>
      <c r="E60" s="85"/>
      <c r="G60" s="8"/>
      <c r="I60" s="61"/>
      <c r="J60" s="61"/>
      <c r="K60" s="61"/>
      <c r="L60" s="86"/>
      <c r="M60" s="85"/>
      <c r="O60" s="10"/>
    </row>
    <row r="61" ht="22.5" customHeight="1">
      <c r="B61" s="8"/>
      <c r="C61" s="61"/>
      <c r="D61" s="61"/>
      <c r="E61" s="85"/>
      <c r="G61" s="8"/>
      <c r="I61" s="61"/>
      <c r="J61" s="61"/>
      <c r="K61" s="61"/>
      <c r="L61" s="86"/>
      <c r="M61" s="85"/>
      <c r="O61" s="10"/>
    </row>
    <row r="62" ht="22.5" customHeight="1">
      <c r="B62" s="8"/>
      <c r="C62" s="61"/>
      <c r="D62" s="61"/>
      <c r="E62" s="85"/>
      <c r="G62" s="8"/>
      <c r="I62" s="61"/>
      <c r="J62" s="61"/>
      <c r="K62" s="61"/>
      <c r="L62" s="86"/>
      <c r="M62" s="85"/>
      <c r="O62" s="10"/>
    </row>
    <row r="63" ht="22.5" customHeight="1">
      <c r="B63" s="8"/>
      <c r="C63" s="61"/>
      <c r="D63" s="61"/>
      <c r="E63" s="85"/>
      <c r="G63" s="8"/>
      <c r="I63" s="61"/>
      <c r="J63" s="61"/>
      <c r="K63" s="61"/>
      <c r="L63" s="86"/>
      <c r="M63" s="85"/>
      <c r="O63" s="10"/>
    </row>
    <row r="64" ht="22.5" customHeight="1">
      <c r="B64" s="8"/>
      <c r="C64" s="61"/>
      <c r="D64" s="61"/>
      <c r="E64" s="85"/>
      <c r="G64" s="8"/>
      <c r="I64" s="61"/>
      <c r="J64" s="61"/>
      <c r="K64" s="61"/>
      <c r="L64" s="86"/>
      <c r="M64" s="85"/>
      <c r="O64" s="10"/>
    </row>
    <row r="65" ht="22.5" customHeight="1">
      <c r="B65" s="8"/>
      <c r="C65" s="61"/>
      <c r="D65" s="61"/>
      <c r="E65" s="85"/>
      <c r="G65" s="8"/>
      <c r="I65" s="61"/>
      <c r="J65" s="61"/>
      <c r="K65" s="61"/>
      <c r="L65" s="86"/>
      <c r="M65" s="85"/>
      <c r="O65" s="10"/>
    </row>
    <row r="66" ht="22.5" customHeight="1">
      <c r="B66" s="8"/>
      <c r="C66" s="61"/>
      <c r="D66" s="61"/>
      <c r="E66" s="85"/>
      <c r="G66" s="8"/>
      <c r="I66" s="61"/>
      <c r="J66" s="61"/>
      <c r="K66" s="61"/>
      <c r="L66" s="86"/>
      <c r="M66" s="85"/>
      <c r="O66" s="10"/>
    </row>
    <row r="67" ht="22.5" customHeight="1">
      <c r="B67" s="8"/>
      <c r="C67" s="61"/>
      <c r="D67" s="61"/>
      <c r="E67" s="85"/>
      <c r="G67" s="8"/>
      <c r="I67" s="61"/>
      <c r="J67" s="61"/>
      <c r="K67" s="61"/>
      <c r="L67" s="86"/>
      <c r="M67" s="85"/>
      <c r="O67" s="10"/>
    </row>
    <row r="68" ht="22.5" customHeight="1">
      <c r="B68" s="8"/>
      <c r="C68" s="61"/>
      <c r="D68" s="61"/>
      <c r="E68" s="85"/>
      <c r="G68" s="8"/>
      <c r="I68" s="61"/>
      <c r="J68" s="61"/>
      <c r="K68" s="61"/>
      <c r="L68" s="86"/>
      <c r="M68" s="85"/>
      <c r="O68" s="10"/>
    </row>
    <row r="69" ht="22.5" customHeight="1">
      <c r="B69" s="8"/>
      <c r="C69" s="61"/>
      <c r="D69" s="61"/>
      <c r="E69" s="85"/>
      <c r="G69" s="8"/>
      <c r="I69" s="61"/>
      <c r="J69" s="61"/>
      <c r="K69" s="61"/>
      <c r="L69" s="86"/>
      <c r="M69" s="85"/>
      <c r="O69" s="10"/>
    </row>
    <row r="70" ht="22.5" customHeight="1">
      <c r="B70" s="8"/>
      <c r="C70" s="61"/>
      <c r="D70" s="61"/>
      <c r="E70" s="85"/>
      <c r="G70" s="8"/>
      <c r="I70" s="61"/>
      <c r="J70" s="61"/>
      <c r="K70" s="61"/>
      <c r="L70" s="86"/>
      <c r="M70" s="85"/>
      <c r="O70" s="10"/>
    </row>
    <row r="71" ht="22.5" customHeight="1">
      <c r="B71" s="8"/>
      <c r="C71" s="61"/>
      <c r="D71" s="61"/>
      <c r="E71" s="85"/>
      <c r="G71" s="8"/>
      <c r="I71" s="61"/>
      <c r="J71" s="61"/>
      <c r="K71" s="61"/>
      <c r="L71" s="86"/>
      <c r="M71" s="85"/>
      <c r="O71" s="10"/>
    </row>
    <row r="72" ht="22.5" customHeight="1">
      <c r="B72" s="8"/>
      <c r="C72" s="61"/>
      <c r="D72" s="61"/>
      <c r="E72" s="85"/>
      <c r="G72" s="8"/>
      <c r="I72" s="61"/>
      <c r="J72" s="61"/>
      <c r="K72" s="61"/>
      <c r="L72" s="86"/>
      <c r="M72" s="85"/>
      <c r="O72" s="10"/>
    </row>
    <row r="73" ht="22.5" customHeight="1">
      <c r="B73" s="8"/>
      <c r="C73" s="61"/>
      <c r="D73" s="61"/>
      <c r="E73" s="85"/>
      <c r="G73" s="8"/>
      <c r="I73" s="61"/>
      <c r="J73" s="61"/>
      <c r="K73" s="61"/>
      <c r="L73" s="86"/>
      <c r="M73" s="85"/>
      <c r="O73" s="10"/>
    </row>
    <row r="74" ht="22.5" customHeight="1">
      <c r="B74" s="8"/>
      <c r="C74" s="61"/>
      <c r="D74" s="61"/>
      <c r="E74" s="85"/>
      <c r="G74" s="8"/>
      <c r="I74" s="61"/>
      <c r="J74" s="61"/>
      <c r="K74" s="61"/>
      <c r="L74" s="86"/>
      <c r="M74" s="85"/>
      <c r="O74" s="10"/>
    </row>
    <row r="75" ht="22.5" customHeight="1">
      <c r="B75" s="8"/>
      <c r="C75" s="61"/>
      <c r="D75" s="61"/>
      <c r="E75" s="85"/>
      <c r="I75" s="61"/>
      <c r="J75" s="61"/>
      <c r="K75" s="61"/>
      <c r="L75" s="86"/>
      <c r="M75" s="85"/>
      <c r="O75" s="10"/>
    </row>
    <row r="76" ht="22.5" customHeight="1">
      <c r="B76" s="8"/>
      <c r="C76" s="61"/>
      <c r="D76" s="61"/>
      <c r="E76" s="85"/>
      <c r="G76" s="8"/>
      <c r="I76" s="61"/>
      <c r="J76" s="61"/>
      <c r="K76" s="61"/>
      <c r="L76" s="86"/>
      <c r="M76" s="85"/>
      <c r="O76" s="10"/>
    </row>
    <row r="77" ht="22.5" customHeight="1">
      <c r="B77" s="8"/>
      <c r="C77" s="61"/>
      <c r="D77" s="61"/>
      <c r="E77" s="85"/>
      <c r="F77" s="8"/>
      <c r="G77" s="8"/>
      <c r="I77" s="61"/>
      <c r="J77" s="61"/>
      <c r="K77" s="61"/>
      <c r="L77" s="86"/>
      <c r="M77" s="85"/>
      <c r="O77" s="10"/>
    </row>
    <row r="78" ht="22.5" customHeight="1">
      <c r="B78" s="8"/>
      <c r="C78" s="61"/>
      <c r="D78" s="61"/>
      <c r="E78" s="85"/>
      <c r="G78" s="8"/>
      <c r="I78" s="61"/>
      <c r="J78" s="61"/>
      <c r="K78" s="61"/>
      <c r="L78" s="86"/>
      <c r="M78" s="85"/>
      <c r="O78" s="10"/>
    </row>
    <row r="79" ht="22.5" customHeight="1">
      <c r="B79" s="8"/>
      <c r="C79" s="61"/>
      <c r="D79" s="61"/>
      <c r="E79" s="85"/>
      <c r="G79" s="8"/>
      <c r="I79" s="61"/>
      <c r="J79" s="61"/>
      <c r="K79" s="61"/>
      <c r="L79" s="86"/>
      <c r="M79" s="85"/>
      <c r="O79" s="10"/>
    </row>
    <row r="80" ht="22.5" customHeight="1">
      <c r="B80" s="8"/>
      <c r="C80" s="61"/>
      <c r="D80" s="61"/>
      <c r="E80" s="85"/>
      <c r="G80" s="8"/>
      <c r="I80" s="61"/>
      <c r="J80" s="61"/>
      <c r="K80" s="61"/>
      <c r="L80" s="86"/>
      <c r="M80" s="85"/>
      <c r="O80" s="10"/>
    </row>
    <row r="81" ht="22.5" customHeight="1">
      <c r="B81" s="8"/>
      <c r="C81" s="61"/>
      <c r="D81" s="61"/>
      <c r="E81" s="85"/>
      <c r="G81" s="8"/>
      <c r="I81" s="61"/>
      <c r="J81" s="61"/>
      <c r="K81" s="61"/>
      <c r="L81" s="86"/>
      <c r="M81" s="85"/>
      <c r="O81" s="10"/>
    </row>
    <row r="82" ht="22.5" customHeight="1">
      <c r="B82" s="8"/>
      <c r="C82" s="61"/>
      <c r="D82" s="61"/>
      <c r="E82" s="85"/>
      <c r="G82" s="8"/>
      <c r="I82" s="61"/>
      <c r="J82" s="61"/>
      <c r="K82" s="61"/>
      <c r="L82" s="86"/>
      <c r="M82" s="85"/>
      <c r="O82" s="10"/>
    </row>
    <row r="83" ht="22.5" customHeight="1">
      <c r="B83" s="8"/>
      <c r="C83" s="61"/>
      <c r="D83" s="61"/>
      <c r="E83" s="85"/>
      <c r="G83" s="8"/>
      <c r="I83" s="61"/>
      <c r="J83" s="61"/>
      <c r="K83" s="61"/>
      <c r="L83" s="86"/>
      <c r="M83" s="85"/>
      <c r="O83" s="10"/>
    </row>
    <row r="84" ht="22.5" customHeight="1">
      <c r="B84" s="8"/>
      <c r="C84" s="61"/>
      <c r="D84" s="61"/>
      <c r="E84" s="85"/>
      <c r="G84" s="8"/>
      <c r="I84" s="61"/>
      <c r="J84" s="61"/>
      <c r="K84" s="61"/>
      <c r="L84" s="86"/>
      <c r="M84" s="85"/>
      <c r="O84" s="10"/>
    </row>
    <row r="85" ht="22.5" customHeight="1">
      <c r="B85" s="8"/>
      <c r="C85" s="61"/>
      <c r="D85" s="61"/>
      <c r="E85" s="85"/>
      <c r="G85" s="8"/>
      <c r="I85" s="61"/>
      <c r="J85" s="61"/>
      <c r="K85" s="61"/>
      <c r="L85" s="86"/>
      <c r="M85" s="85"/>
      <c r="O85" s="10"/>
    </row>
    <row r="86" ht="22.5" customHeight="1">
      <c r="B86" s="8"/>
      <c r="C86" s="61"/>
      <c r="D86" s="61"/>
      <c r="E86" s="85"/>
      <c r="G86" s="8"/>
      <c r="I86" s="61"/>
      <c r="J86" s="61"/>
      <c r="K86" s="61"/>
      <c r="L86" s="86"/>
      <c r="M86" s="85"/>
      <c r="O86" s="10"/>
    </row>
    <row r="87" ht="22.5" customHeight="1">
      <c r="B87" s="8"/>
      <c r="C87" s="61"/>
      <c r="D87" s="61"/>
      <c r="E87" s="85"/>
      <c r="G87" s="8"/>
      <c r="I87" s="61"/>
      <c r="J87" s="61"/>
      <c r="K87" s="61"/>
      <c r="L87" s="86"/>
      <c r="M87" s="85"/>
      <c r="O87" s="10"/>
    </row>
    <row r="88" ht="22.5" customHeight="1">
      <c r="B88" s="8"/>
      <c r="C88" s="61"/>
      <c r="D88" s="61"/>
      <c r="E88" s="85"/>
      <c r="G88" s="8"/>
      <c r="I88" s="61"/>
      <c r="J88" s="61"/>
      <c r="K88" s="61"/>
      <c r="L88" s="86"/>
      <c r="M88" s="85"/>
      <c r="O88" s="10"/>
    </row>
    <row r="89" ht="22.5" customHeight="1">
      <c r="B89" s="8"/>
      <c r="C89" s="61"/>
      <c r="D89" s="61"/>
      <c r="E89" s="85"/>
      <c r="G89" s="8"/>
      <c r="I89" s="61"/>
      <c r="J89" s="61"/>
      <c r="K89" s="61"/>
      <c r="L89" s="86"/>
      <c r="M89" s="85"/>
      <c r="O89" s="10"/>
    </row>
    <row r="90" ht="22.5" customHeight="1">
      <c r="B90" s="8"/>
      <c r="C90" s="61"/>
      <c r="D90" s="61"/>
      <c r="E90" s="85"/>
      <c r="G90" s="8"/>
      <c r="I90" s="61"/>
      <c r="J90" s="61"/>
      <c r="K90" s="61"/>
      <c r="L90" s="86"/>
      <c r="M90" s="85"/>
      <c r="O90" s="10"/>
    </row>
    <row r="91" ht="22.5" customHeight="1">
      <c r="B91" s="8"/>
      <c r="C91" s="61"/>
      <c r="D91" s="61"/>
      <c r="E91" s="85"/>
      <c r="G91" s="8"/>
      <c r="I91" s="61"/>
      <c r="J91" s="61"/>
      <c r="K91" s="61"/>
      <c r="L91" s="86"/>
      <c r="M91" s="85"/>
      <c r="O91" s="10"/>
    </row>
    <row r="92" ht="22.5" customHeight="1">
      <c r="B92" s="8"/>
      <c r="C92" s="61"/>
      <c r="D92" s="61"/>
      <c r="E92" s="85"/>
      <c r="G92" s="8"/>
      <c r="I92" s="61"/>
      <c r="J92" s="61"/>
      <c r="K92" s="61"/>
      <c r="L92" s="86"/>
      <c r="M92" s="85"/>
      <c r="O92" s="10"/>
    </row>
    <row r="93" ht="22.5" customHeight="1">
      <c r="B93" s="8"/>
      <c r="C93" s="61"/>
      <c r="D93" s="61"/>
      <c r="E93" s="85"/>
      <c r="G93" s="8"/>
      <c r="I93" s="61"/>
      <c r="J93" s="61"/>
      <c r="K93" s="61"/>
      <c r="L93" s="86"/>
      <c r="M93" s="85"/>
      <c r="O93" s="10"/>
    </row>
    <row r="94" ht="22.5" customHeight="1">
      <c r="B94" s="8"/>
      <c r="C94" s="61"/>
      <c r="D94" s="61"/>
      <c r="E94" s="85"/>
      <c r="G94" s="8"/>
      <c r="I94" s="61"/>
      <c r="J94" s="61"/>
      <c r="K94" s="61"/>
      <c r="L94" s="86"/>
      <c r="M94" s="85"/>
      <c r="O94" s="10"/>
    </row>
    <row r="95" ht="22.5" customHeight="1">
      <c r="B95" s="8"/>
      <c r="C95" s="61"/>
      <c r="D95" s="61"/>
      <c r="E95" s="85"/>
      <c r="G95" s="8"/>
      <c r="I95" s="61"/>
      <c r="J95" s="61"/>
      <c r="K95" s="61"/>
      <c r="L95" s="86"/>
      <c r="M95" s="85"/>
      <c r="O95" s="10"/>
    </row>
    <row r="96" ht="22.5" customHeight="1">
      <c r="B96" s="8"/>
      <c r="C96" s="61"/>
      <c r="D96" s="61"/>
      <c r="E96" s="85"/>
      <c r="G96" s="8"/>
      <c r="I96" s="61"/>
      <c r="J96" s="61"/>
      <c r="K96" s="61"/>
      <c r="L96" s="86"/>
      <c r="M96" s="85"/>
      <c r="O96" s="10"/>
    </row>
    <row r="97" ht="22.5" customHeight="1">
      <c r="B97" s="8"/>
      <c r="C97" s="61"/>
      <c r="D97" s="61"/>
      <c r="E97" s="85"/>
      <c r="G97" s="8"/>
      <c r="I97" s="61"/>
      <c r="J97" s="61"/>
      <c r="K97" s="61"/>
      <c r="L97" s="86"/>
      <c r="M97" s="85"/>
      <c r="O97" s="10"/>
    </row>
    <row r="98" ht="22.5" customHeight="1">
      <c r="B98" s="8"/>
      <c r="C98" s="61"/>
      <c r="D98" s="61"/>
      <c r="E98" s="85"/>
      <c r="G98" s="8"/>
      <c r="I98" s="61"/>
      <c r="J98" s="61"/>
      <c r="K98" s="61"/>
      <c r="L98" s="86"/>
      <c r="M98" s="85"/>
      <c r="O98" s="10"/>
    </row>
    <row r="99" ht="22.5" customHeight="1">
      <c r="B99" s="8"/>
      <c r="C99" s="61"/>
      <c r="D99" s="61"/>
      <c r="E99" s="85"/>
      <c r="G99" s="8"/>
      <c r="I99" s="61"/>
      <c r="J99" s="61"/>
      <c r="K99" s="61"/>
      <c r="L99" s="86"/>
      <c r="M99" s="85"/>
      <c r="O99" s="10"/>
    </row>
    <row r="100" ht="22.5" customHeight="1">
      <c r="B100" s="8"/>
      <c r="C100" s="61"/>
      <c r="D100" s="61"/>
      <c r="E100" s="85"/>
      <c r="G100" s="8"/>
      <c r="I100" s="61"/>
      <c r="J100" s="61"/>
      <c r="K100" s="61"/>
      <c r="L100" s="86"/>
      <c r="M100" s="85"/>
      <c r="O100" s="10"/>
    </row>
    <row r="101" ht="22.5" customHeight="1">
      <c r="B101" s="8"/>
      <c r="C101" s="61"/>
      <c r="D101" s="61"/>
      <c r="E101" s="85"/>
      <c r="G101" s="8"/>
      <c r="I101" s="61"/>
      <c r="J101" s="61"/>
      <c r="K101" s="61"/>
      <c r="L101" s="86"/>
      <c r="M101" s="85"/>
      <c r="O101" s="10"/>
    </row>
    <row r="102" ht="22.5" customHeight="1">
      <c r="B102" s="8"/>
      <c r="C102" s="61"/>
      <c r="D102" s="61"/>
      <c r="E102" s="85"/>
      <c r="G102" s="8"/>
      <c r="I102" s="61"/>
      <c r="J102" s="61"/>
      <c r="K102" s="61"/>
      <c r="L102" s="86"/>
      <c r="M102" s="85"/>
      <c r="O102" s="10"/>
    </row>
    <row r="103" ht="22.5" customHeight="1">
      <c r="B103" s="8"/>
      <c r="C103" s="61"/>
      <c r="D103" s="61"/>
      <c r="E103" s="85"/>
      <c r="G103" s="8"/>
      <c r="I103" s="61"/>
      <c r="J103" s="61"/>
      <c r="K103" s="61"/>
      <c r="L103" s="86"/>
      <c r="M103" s="85"/>
      <c r="O103" s="10"/>
    </row>
    <row r="104" ht="22.5" customHeight="1">
      <c r="B104" s="8"/>
      <c r="C104" s="61"/>
      <c r="D104" s="61"/>
      <c r="E104" s="85"/>
      <c r="G104" s="8"/>
      <c r="I104" s="61"/>
      <c r="J104" s="61"/>
      <c r="K104" s="61"/>
      <c r="L104" s="86"/>
      <c r="M104" s="85"/>
      <c r="O104" s="10"/>
    </row>
    <row r="105" ht="22.5" customHeight="1">
      <c r="B105" s="8"/>
      <c r="C105" s="61"/>
      <c r="D105" s="61"/>
      <c r="E105" s="85"/>
      <c r="G105" s="8"/>
      <c r="I105" s="61"/>
      <c r="J105" s="61"/>
      <c r="K105" s="61"/>
      <c r="L105" s="86"/>
      <c r="M105" s="85"/>
      <c r="O105" s="10"/>
    </row>
    <row r="106" ht="22.5" customHeight="1">
      <c r="B106" s="8"/>
      <c r="C106" s="61"/>
      <c r="D106" s="61"/>
      <c r="E106" s="85"/>
      <c r="G106" s="8"/>
      <c r="I106" s="61"/>
      <c r="J106" s="61"/>
      <c r="K106" s="61"/>
      <c r="L106" s="86"/>
      <c r="M106" s="85"/>
      <c r="O106" s="10"/>
    </row>
    <row r="107" ht="22.5" customHeight="1">
      <c r="B107" s="8"/>
      <c r="C107" s="61"/>
      <c r="D107" s="61"/>
      <c r="E107" s="85"/>
      <c r="G107" s="8"/>
      <c r="I107" s="61"/>
      <c r="J107" s="61"/>
      <c r="K107" s="61"/>
      <c r="L107" s="86"/>
      <c r="M107" s="85"/>
      <c r="O107" s="10"/>
    </row>
    <row r="108" ht="22.5" customHeight="1">
      <c r="B108" s="8"/>
      <c r="C108" s="61"/>
      <c r="D108" s="61"/>
      <c r="E108" s="85"/>
      <c r="G108" s="8"/>
      <c r="I108" s="61"/>
      <c r="J108" s="61"/>
      <c r="K108" s="61"/>
      <c r="L108" s="86"/>
      <c r="M108" s="85"/>
      <c r="O108" s="10"/>
    </row>
    <row r="109" ht="22.5" customHeight="1">
      <c r="B109" s="8"/>
      <c r="C109" s="61"/>
      <c r="D109" s="61"/>
      <c r="E109" s="85"/>
      <c r="G109" s="8"/>
      <c r="I109" s="61"/>
      <c r="J109" s="61"/>
      <c r="K109" s="61"/>
      <c r="L109" s="86"/>
      <c r="M109" s="85"/>
      <c r="O109" s="10"/>
    </row>
    <row r="110" ht="22.5" customHeight="1">
      <c r="B110" s="8"/>
      <c r="C110" s="61"/>
      <c r="D110" s="61"/>
      <c r="E110" s="85"/>
      <c r="G110" s="8"/>
      <c r="I110" s="61"/>
      <c r="J110" s="61"/>
      <c r="K110" s="61"/>
      <c r="L110" s="86"/>
      <c r="M110" s="85"/>
      <c r="O110" s="10"/>
    </row>
    <row r="111" ht="22.5" customHeight="1">
      <c r="B111" s="8"/>
      <c r="C111" s="61"/>
      <c r="D111" s="61"/>
      <c r="E111" s="85"/>
      <c r="G111" s="8"/>
      <c r="I111" s="61"/>
      <c r="J111" s="61"/>
      <c r="K111" s="61"/>
      <c r="L111" s="86"/>
      <c r="M111" s="85"/>
      <c r="O111" s="10"/>
    </row>
    <row r="112" ht="22.5" customHeight="1">
      <c r="B112" s="8"/>
      <c r="C112" s="61"/>
      <c r="D112" s="61"/>
      <c r="E112" s="85"/>
      <c r="G112" s="8"/>
      <c r="I112" s="61"/>
      <c r="J112" s="61"/>
      <c r="K112" s="61"/>
      <c r="L112" s="86"/>
      <c r="M112" s="85"/>
      <c r="O112" s="10"/>
    </row>
    <row r="113" ht="22.5" customHeight="1">
      <c r="B113" s="8"/>
      <c r="C113" s="61"/>
      <c r="D113" s="61"/>
      <c r="E113" s="85"/>
      <c r="G113" s="8"/>
      <c r="I113" s="61"/>
      <c r="J113" s="61"/>
      <c r="K113" s="61"/>
      <c r="L113" s="86"/>
      <c r="M113" s="85"/>
      <c r="O113" s="10"/>
    </row>
    <row r="114" ht="22.5" customHeight="1">
      <c r="B114" s="8"/>
      <c r="C114" s="61"/>
      <c r="D114" s="61"/>
      <c r="E114" s="85"/>
      <c r="G114" s="8"/>
      <c r="I114" s="61"/>
      <c r="J114" s="61"/>
      <c r="K114" s="61"/>
      <c r="L114" s="86"/>
      <c r="M114" s="85"/>
      <c r="O114" s="10"/>
    </row>
    <row r="115" ht="22.5" customHeight="1">
      <c r="B115" s="8"/>
      <c r="C115" s="61"/>
      <c r="D115" s="61"/>
      <c r="E115" s="85"/>
      <c r="G115" s="8"/>
      <c r="I115" s="61"/>
      <c r="J115" s="61"/>
      <c r="K115" s="61"/>
      <c r="L115" s="86"/>
      <c r="M115" s="85"/>
      <c r="O115" s="10"/>
    </row>
    <row r="116" ht="22.5" customHeight="1">
      <c r="B116" s="8"/>
      <c r="C116" s="61"/>
      <c r="D116" s="61"/>
      <c r="E116" s="85"/>
      <c r="G116" s="8"/>
      <c r="I116" s="61"/>
      <c r="J116" s="61"/>
      <c r="K116" s="61"/>
      <c r="L116" s="86"/>
      <c r="M116" s="85"/>
      <c r="O116" s="10"/>
    </row>
    <row r="117" ht="22.5" customHeight="1">
      <c r="B117" s="8"/>
      <c r="C117" s="61"/>
      <c r="D117" s="61"/>
      <c r="E117" s="85"/>
      <c r="G117" s="8"/>
      <c r="I117" s="61"/>
      <c r="J117" s="61"/>
      <c r="K117" s="61"/>
      <c r="L117" s="86"/>
      <c r="M117" s="85"/>
      <c r="O117" s="10"/>
    </row>
    <row r="118" ht="22.5" customHeight="1">
      <c r="B118" s="8"/>
      <c r="C118" s="61"/>
      <c r="D118" s="61"/>
      <c r="E118" s="85"/>
      <c r="G118" s="8"/>
      <c r="I118" s="61"/>
      <c r="J118" s="61"/>
      <c r="K118" s="61"/>
      <c r="L118" s="86"/>
      <c r="M118" s="85"/>
      <c r="O118" s="10"/>
    </row>
    <row r="119" ht="22.5" customHeight="1">
      <c r="B119" s="8"/>
      <c r="C119" s="61"/>
      <c r="D119" s="61"/>
      <c r="E119" s="85"/>
      <c r="G119" s="8"/>
      <c r="I119" s="61"/>
      <c r="J119" s="61"/>
      <c r="K119" s="61"/>
      <c r="L119" s="86"/>
      <c r="M119" s="85"/>
      <c r="O119" s="10"/>
    </row>
    <row r="120" ht="22.5" customHeight="1">
      <c r="B120" s="8"/>
      <c r="C120" s="61"/>
      <c r="D120" s="61"/>
      <c r="E120" s="85"/>
      <c r="G120" s="8"/>
      <c r="I120" s="61"/>
      <c r="J120" s="61"/>
      <c r="K120" s="61"/>
      <c r="L120" s="86"/>
      <c r="M120" s="85"/>
      <c r="O120" s="10"/>
    </row>
    <row r="121" ht="22.5" customHeight="1">
      <c r="B121" s="8"/>
      <c r="C121" s="61"/>
      <c r="D121" s="61"/>
      <c r="E121" s="85"/>
      <c r="G121" s="8"/>
      <c r="I121" s="61"/>
      <c r="J121" s="61"/>
      <c r="K121" s="61"/>
      <c r="L121" s="86"/>
      <c r="M121" s="85"/>
      <c r="O121" s="10"/>
    </row>
    <row r="122" ht="22.5" customHeight="1">
      <c r="B122" s="8"/>
      <c r="C122" s="61"/>
      <c r="D122" s="61"/>
      <c r="E122" s="85"/>
      <c r="G122" s="8"/>
      <c r="I122" s="61"/>
      <c r="J122" s="61"/>
      <c r="K122" s="61"/>
      <c r="L122" s="86"/>
      <c r="M122" s="85"/>
      <c r="O122" s="10"/>
    </row>
    <row r="123" ht="22.5" customHeight="1">
      <c r="B123" s="8"/>
      <c r="C123" s="61"/>
      <c r="D123" s="61"/>
      <c r="E123" s="85"/>
      <c r="G123" s="8"/>
      <c r="I123" s="61"/>
      <c r="J123" s="61"/>
      <c r="K123" s="61"/>
      <c r="L123" s="86"/>
      <c r="M123" s="85"/>
      <c r="O123" s="10"/>
    </row>
    <row r="124" ht="22.5" customHeight="1">
      <c r="B124" s="8"/>
      <c r="C124" s="61"/>
      <c r="D124" s="61"/>
      <c r="E124" s="85"/>
      <c r="G124" s="8"/>
      <c r="I124" s="61"/>
      <c r="J124" s="61"/>
      <c r="K124" s="61"/>
      <c r="L124" s="86"/>
      <c r="M124" s="85"/>
      <c r="O124" s="10"/>
    </row>
    <row r="125" ht="22.5" customHeight="1">
      <c r="B125" s="8"/>
      <c r="C125" s="61"/>
      <c r="D125" s="61"/>
      <c r="E125" s="85"/>
      <c r="G125" s="8"/>
      <c r="I125" s="61"/>
      <c r="J125" s="61"/>
      <c r="K125" s="61"/>
      <c r="L125" s="86"/>
      <c r="M125" s="85"/>
      <c r="O125" s="10"/>
    </row>
    <row r="126" ht="22.5" customHeight="1">
      <c r="B126" s="8"/>
      <c r="C126" s="61"/>
      <c r="D126" s="61"/>
      <c r="E126" s="85"/>
      <c r="G126" s="8"/>
      <c r="I126" s="61"/>
      <c r="J126" s="61"/>
      <c r="K126" s="61"/>
      <c r="L126" s="86"/>
      <c r="M126" s="85"/>
      <c r="O126" s="10"/>
    </row>
    <row r="127" ht="22.5" customHeight="1">
      <c r="B127" s="8"/>
      <c r="C127" s="61"/>
      <c r="D127" s="61"/>
      <c r="E127" s="85"/>
      <c r="F127" s="8"/>
      <c r="G127" s="8"/>
      <c r="I127" s="61"/>
      <c r="J127" s="61"/>
      <c r="K127" s="61"/>
      <c r="L127" s="86"/>
      <c r="M127" s="85"/>
      <c r="O127" s="10"/>
    </row>
    <row r="128" ht="22.5" customHeight="1">
      <c r="B128" s="8"/>
      <c r="C128" s="61"/>
      <c r="D128" s="61"/>
      <c r="E128" s="15"/>
      <c r="F128" s="8"/>
      <c r="G128" s="8"/>
      <c r="I128" s="61"/>
      <c r="J128" s="61"/>
      <c r="K128" s="61"/>
      <c r="L128" s="86"/>
      <c r="M128" s="85"/>
      <c r="O128" s="10"/>
    </row>
    <row r="129" ht="22.5" customHeight="1">
      <c r="B129" s="8"/>
      <c r="C129" s="61"/>
      <c r="D129" s="61"/>
      <c r="E129" s="15"/>
      <c r="F129" s="8"/>
      <c r="G129" s="8"/>
      <c r="I129" s="61"/>
      <c r="J129" s="61"/>
      <c r="K129" s="61"/>
      <c r="L129" s="86"/>
      <c r="M129" s="85"/>
      <c r="O129" s="10"/>
    </row>
    <row r="130" ht="22.5" customHeight="1">
      <c r="B130" s="8"/>
      <c r="C130" s="61"/>
      <c r="D130" s="61"/>
      <c r="E130" s="15"/>
      <c r="F130" s="8"/>
      <c r="G130" s="8"/>
      <c r="I130" s="61"/>
      <c r="J130" s="61"/>
      <c r="K130" s="61"/>
      <c r="L130" s="86"/>
      <c r="M130" s="85"/>
      <c r="O130" s="10"/>
    </row>
    <row r="131" ht="22.5" customHeight="1">
      <c r="B131" s="8"/>
      <c r="C131" s="61"/>
      <c r="D131" s="61"/>
      <c r="E131" s="15"/>
      <c r="F131" s="8"/>
      <c r="G131" s="8"/>
      <c r="I131" s="61"/>
      <c r="J131" s="61"/>
      <c r="K131" s="61"/>
      <c r="L131" s="86"/>
      <c r="M131" s="85"/>
      <c r="O131" s="10"/>
    </row>
    <row r="132" ht="22.5" customHeight="1">
      <c r="B132" s="8"/>
      <c r="C132" s="61"/>
      <c r="D132" s="61"/>
      <c r="E132" s="15"/>
      <c r="F132" s="8"/>
      <c r="G132" s="8"/>
      <c r="I132" s="61"/>
      <c r="J132" s="61"/>
      <c r="K132" s="61"/>
      <c r="L132" s="86"/>
      <c r="M132" s="85"/>
      <c r="O132" s="10"/>
    </row>
    <row r="133" ht="22.5" customHeight="1">
      <c r="B133" s="8"/>
      <c r="C133" s="61"/>
      <c r="D133" s="61"/>
      <c r="E133" s="15"/>
      <c r="F133" s="8"/>
      <c r="G133" s="8"/>
      <c r="I133" s="61"/>
      <c r="J133" s="61"/>
      <c r="K133" s="61"/>
      <c r="L133" s="86"/>
      <c r="M133" s="85"/>
      <c r="O133" s="10"/>
    </row>
    <row r="134" ht="22.5" customHeight="1">
      <c r="B134" s="8"/>
      <c r="C134" s="61"/>
      <c r="D134" s="61"/>
      <c r="E134" s="15"/>
      <c r="F134" s="8"/>
      <c r="G134" s="8"/>
      <c r="I134" s="61"/>
      <c r="J134" s="61"/>
      <c r="K134" s="61"/>
      <c r="L134" s="28"/>
      <c r="M134" s="15"/>
      <c r="O134" s="10"/>
    </row>
    <row r="135" ht="22.5" customHeight="1">
      <c r="B135" s="8"/>
      <c r="C135" s="61"/>
      <c r="D135" s="61"/>
      <c r="E135" s="15"/>
      <c r="F135" s="8"/>
      <c r="G135" s="8"/>
      <c r="I135" s="61"/>
      <c r="J135" s="61"/>
      <c r="K135" s="61"/>
      <c r="L135" s="28"/>
      <c r="M135" s="15"/>
      <c r="O135" s="10"/>
    </row>
    <row r="136" ht="22.5" customHeight="1">
      <c r="B136" s="8"/>
      <c r="C136" s="61"/>
      <c r="D136" s="61"/>
      <c r="E136" s="15"/>
      <c r="F136" s="8"/>
      <c r="G136" s="8"/>
      <c r="I136" s="61"/>
      <c r="J136" s="61"/>
      <c r="K136" s="61"/>
      <c r="L136" s="28"/>
      <c r="M136" s="15"/>
      <c r="O136" s="10"/>
    </row>
    <row r="137" ht="22.5" customHeight="1">
      <c r="A137" s="87"/>
      <c r="B137" s="50"/>
      <c r="C137" s="64"/>
      <c r="D137" s="64"/>
      <c r="E137" s="88"/>
      <c r="F137" s="87"/>
      <c r="G137" s="50"/>
      <c r="H137" s="87"/>
      <c r="I137" s="64"/>
      <c r="J137" s="64"/>
      <c r="K137" s="64"/>
      <c r="L137" s="28"/>
      <c r="M137" s="88"/>
      <c r="N137" s="87"/>
      <c r="O137" s="89"/>
      <c r="P137" s="87"/>
      <c r="Q137" s="87"/>
      <c r="R137" s="90"/>
    </row>
    <row r="138" ht="22.5" customHeight="1">
      <c r="A138" s="87"/>
      <c r="B138" s="50"/>
      <c r="C138" s="64"/>
      <c r="D138" s="64"/>
      <c r="E138" s="88"/>
      <c r="F138" s="87"/>
      <c r="G138" s="50"/>
      <c r="H138" s="87"/>
      <c r="I138" s="64"/>
      <c r="J138" s="64"/>
      <c r="K138" s="64"/>
      <c r="L138" s="28"/>
      <c r="M138" s="88"/>
      <c r="N138" s="87"/>
      <c r="O138" s="89"/>
      <c r="P138" s="87"/>
      <c r="Q138" s="87"/>
      <c r="R138" s="90"/>
    </row>
    <row r="139" ht="22.5" customHeight="1">
      <c r="A139" s="87"/>
      <c r="B139" s="50"/>
      <c r="C139" s="64"/>
      <c r="D139" s="64"/>
      <c r="E139" s="88"/>
      <c r="F139" s="87"/>
      <c r="G139" s="50"/>
      <c r="H139" s="87"/>
      <c r="I139" s="64"/>
      <c r="J139" s="64"/>
      <c r="K139" s="64"/>
      <c r="L139" s="28"/>
      <c r="M139" s="88"/>
      <c r="N139" s="87"/>
      <c r="O139" s="89"/>
      <c r="P139" s="87"/>
      <c r="Q139" s="87"/>
      <c r="R139" s="90"/>
    </row>
    <row r="140" ht="22.5" customHeight="1">
      <c r="A140" s="87"/>
      <c r="B140" s="50"/>
      <c r="C140" s="64"/>
      <c r="D140" s="64"/>
      <c r="E140" s="88"/>
      <c r="F140" s="87"/>
      <c r="G140" s="50"/>
      <c r="H140" s="87"/>
      <c r="I140" s="64"/>
      <c r="J140" s="64"/>
      <c r="K140" s="64"/>
      <c r="L140" s="28"/>
      <c r="M140" s="88"/>
      <c r="N140" s="87"/>
      <c r="O140" s="89"/>
      <c r="P140" s="87"/>
      <c r="Q140" s="87"/>
      <c r="R140" s="90"/>
    </row>
    <row r="141" ht="22.5" customHeight="1">
      <c r="A141" s="87"/>
      <c r="B141" s="50"/>
      <c r="C141" s="64"/>
      <c r="D141" s="64"/>
      <c r="E141" s="88"/>
      <c r="F141" s="87"/>
      <c r="G141" s="50"/>
      <c r="H141" s="87"/>
      <c r="I141" s="64"/>
      <c r="J141" s="64"/>
      <c r="K141" s="64"/>
      <c r="L141" s="28"/>
      <c r="M141" s="88"/>
      <c r="N141" s="87"/>
      <c r="O141" s="89"/>
      <c r="P141" s="87"/>
      <c r="Q141" s="87"/>
      <c r="R141" s="90"/>
    </row>
    <row r="142" ht="22.5" customHeight="1">
      <c r="A142" s="87"/>
      <c r="B142" s="50"/>
      <c r="C142" s="64"/>
      <c r="D142" s="64"/>
      <c r="E142" s="88"/>
      <c r="F142" s="87"/>
      <c r="G142" s="50"/>
      <c r="H142" s="87"/>
      <c r="I142" s="64"/>
      <c r="J142" s="64"/>
      <c r="K142" s="64"/>
      <c r="L142" s="28"/>
      <c r="M142" s="88"/>
      <c r="N142" s="87"/>
      <c r="O142" s="89"/>
      <c r="P142" s="87"/>
      <c r="Q142" s="87"/>
      <c r="R142" s="90"/>
    </row>
    <row r="143" ht="22.5" customHeight="1">
      <c r="A143" s="87"/>
      <c r="B143" s="50"/>
      <c r="C143" s="64"/>
      <c r="D143" s="64"/>
      <c r="E143" s="88"/>
      <c r="F143" s="87"/>
      <c r="G143" s="50"/>
      <c r="H143" s="87"/>
      <c r="I143" s="64"/>
      <c r="J143" s="64"/>
      <c r="K143" s="64"/>
      <c r="L143" s="28"/>
      <c r="M143" s="88"/>
      <c r="N143" s="87"/>
      <c r="O143" s="89"/>
      <c r="P143" s="87"/>
      <c r="Q143" s="87"/>
      <c r="R143" s="90"/>
    </row>
    <row r="144" ht="22.5" customHeight="1">
      <c r="A144" s="87"/>
      <c r="B144" s="50"/>
      <c r="C144" s="64"/>
      <c r="D144" s="64"/>
      <c r="E144" s="88"/>
      <c r="F144" s="87"/>
      <c r="G144" s="50"/>
      <c r="H144" s="87"/>
      <c r="I144" s="64"/>
      <c r="J144" s="64"/>
      <c r="K144" s="64"/>
      <c r="L144" s="28"/>
      <c r="M144" s="88"/>
      <c r="N144" s="87"/>
      <c r="O144" s="89"/>
      <c r="P144" s="87"/>
      <c r="Q144" s="87"/>
      <c r="R144" s="90"/>
    </row>
    <row r="145" ht="22.5" customHeight="1">
      <c r="A145" s="87"/>
      <c r="B145" s="50"/>
      <c r="C145" s="64"/>
      <c r="D145" s="64"/>
      <c r="E145" s="88"/>
      <c r="F145" s="87"/>
      <c r="G145" s="50"/>
      <c r="H145" s="87"/>
      <c r="I145" s="64"/>
      <c r="J145" s="64"/>
      <c r="K145" s="64"/>
      <c r="L145" s="28"/>
      <c r="M145" s="88"/>
      <c r="N145" s="87"/>
      <c r="O145" s="89"/>
      <c r="P145" s="87"/>
      <c r="Q145" s="87"/>
      <c r="R145" s="90"/>
    </row>
    <row r="146" ht="22.5" customHeight="1">
      <c r="A146" s="87"/>
      <c r="B146" s="50"/>
      <c r="C146" s="64"/>
      <c r="D146" s="64"/>
      <c r="E146" s="88"/>
      <c r="F146" s="87"/>
      <c r="G146" s="50"/>
      <c r="H146" s="87"/>
      <c r="I146" s="64"/>
      <c r="J146" s="64"/>
      <c r="K146" s="64"/>
      <c r="L146" s="28"/>
      <c r="M146" s="88"/>
      <c r="N146" s="87"/>
      <c r="O146" s="89"/>
      <c r="P146" s="87"/>
      <c r="Q146" s="87"/>
      <c r="R146" s="90"/>
    </row>
    <row r="147" ht="22.5" customHeight="1">
      <c r="A147" s="87"/>
      <c r="B147" s="50"/>
      <c r="C147" s="64"/>
      <c r="D147" s="64"/>
      <c r="E147" s="88"/>
      <c r="F147" s="87"/>
      <c r="G147" s="50"/>
      <c r="H147" s="87"/>
      <c r="I147" s="64"/>
      <c r="J147" s="64"/>
      <c r="K147" s="64"/>
      <c r="L147" s="28"/>
      <c r="M147" s="88"/>
      <c r="N147" s="87"/>
      <c r="O147" s="89"/>
      <c r="P147" s="87"/>
      <c r="Q147" s="87"/>
      <c r="R147" s="90"/>
    </row>
    <row r="148" ht="22.5" customHeight="1">
      <c r="A148" s="87"/>
      <c r="B148" s="50"/>
      <c r="C148" s="64"/>
      <c r="D148" s="64"/>
      <c r="E148" s="88"/>
      <c r="F148" s="87"/>
      <c r="G148" s="50"/>
      <c r="H148" s="87"/>
      <c r="I148" s="64"/>
      <c r="J148" s="64"/>
      <c r="K148" s="64"/>
      <c r="L148" s="28"/>
      <c r="M148" s="88"/>
      <c r="N148" s="87"/>
      <c r="O148" s="89"/>
      <c r="P148" s="87"/>
      <c r="Q148" s="87"/>
      <c r="R148" s="90"/>
    </row>
    <row r="149" ht="22.5" customHeight="1">
      <c r="A149" s="87"/>
      <c r="B149" s="50"/>
      <c r="C149" s="64"/>
      <c r="D149" s="64"/>
      <c r="E149" s="88"/>
      <c r="F149" s="87"/>
      <c r="G149" s="50"/>
      <c r="H149" s="87"/>
      <c r="I149" s="64"/>
      <c r="J149" s="64"/>
      <c r="K149" s="64"/>
      <c r="L149" s="28"/>
      <c r="M149" s="88"/>
      <c r="N149" s="87"/>
      <c r="O149" s="89"/>
      <c r="P149" s="87"/>
      <c r="Q149" s="87"/>
      <c r="R149" s="90"/>
    </row>
    <row r="150" ht="22.5" customHeight="1">
      <c r="A150" s="87"/>
      <c r="B150" s="50"/>
      <c r="C150" s="64"/>
      <c r="D150" s="64"/>
      <c r="E150" s="88"/>
      <c r="F150" s="87"/>
      <c r="G150" s="50"/>
      <c r="H150" s="87"/>
      <c r="I150" s="64"/>
      <c r="J150" s="64"/>
      <c r="K150" s="64"/>
      <c r="L150" s="28"/>
      <c r="M150" s="88"/>
      <c r="N150" s="87"/>
      <c r="O150" s="89"/>
      <c r="P150" s="87"/>
      <c r="Q150" s="87"/>
      <c r="R150" s="90"/>
    </row>
    <row r="151" ht="22.5" customHeight="1">
      <c r="A151" s="87"/>
      <c r="B151" s="50"/>
      <c r="C151" s="64"/>
      <c r="D151" s="64"/>
      <c r="E151" s="88"/>
      <c r="F151" s="87"/>
      <c r="G151" s="50"/>
      <c r="H151" s="87"/>
      <c r="I151" s="64"/>
      <c r="J151" s="64"/>
      <c r="K151" s="64"/>
      <c r="L151" s="28"/>
      <c r="M151" s="88"/>
      <c r="N151" s="87"/>
      <c r="O151" s="89"/>
      <c r="P151" s="87"/>
      <c r="Q151" s="87"/>
      <c r="R151" s="90"/>
    </row>
    <row r="152" ht="22.5" customHeight="1">
      <c r="A152" s="87"/>
      <c r="B152" s="50"/>
      <c r="C152" s="64"/>
      <c r="D152" s="64"/>
      <c r="E152" s="88"/>
      <c r="F152" s="87"/>
      <c r="G152" s="50"/>
      <c r="H152" s="87"/>
      <c r="I152" s="64"/>
      <c r="J152" s="64"/>
      <c r="K152" s="64"/>
      <c r="L152" s="28"/>
      <c r="M152" s="88"/>
      <c r="N152" s="87"/>
      <c r="O152" s="89"/>
      <c r="P152" s="87"/>
      <c r="Q152" s="87"/>
      <c r="R152" s="90"/>
    </row>
    <row r="153" ht="22.5" customHeight="1">
      <c r="A153" s="87"/>
      <c r="B153" s="50"/>
      <c r="C153" s="64"/>
      <c r="D153" s="64"/>
      <c r="E153" s="88"/>
      <c r="F153" s="87"/>
      <c r="G153" s="50"/>
      <c r="H153" s="87"/>
      <c r="I153" s="64"/>
      <c r="J153" s="64"/>
      <c r="K153" s="64"/>
      <c r="L153" s="28"/>
      <c r="M153" s="88"/>
      <c r="N153" s="87"/>
      <c r="O153" s="89"/>
      <c r="P153" s="87"/>
      <c r="Q153" s="87"/>
      <c r="R153" s="90"/>
    </row>
    <row r="154" ht="22.5" customHeight="1">
      <c r="A154" s="87"/>
      <c r="B154" s="50"/>
      <c r="C154" s="64"/>
      <c r="D154" s="64"/>
      <c r="E154" s="88"/>
      <c r="F154" s="87"/>
      <c r="G154" s="50"/>
      <c r="H154" s="87"/>
      <c r="I154" s="64"/>
      <c r="J154" s="64"/>
      <c r="K154" s="64"/>
      <c r="L154" s="28"/>
      <c r="M154" s="88"/>
      <c r="N154" s="87"/>
      <c r="O154" s="89"/>
      <c r="P154" s="87"/>
      <c r="Q154" s="87"/>
      <c r="R154" s="90"/>
    </row>
    <row r="155" ht="22.5" customHeight="1">
      <c r="A155" s="87"/>
      <c r="B155" s="50"/>
      <c r="C155" s="64"/>
      <c r="D155" s="64"/>
      <c r="E155" s="88"/>
      <c r="F155" s="87"/>
      <c r="G155" s="50"/>
      <c r="H155" s="87"/>
      <c r="I155" s="64"/>
      <c r="J155" s="64"/>
      <c r="K155" s="64"/>
      <c r="L155" s="28"/>
      <c r="M155" s="88"/>
      <c r="N155" s="87"/>
      <c r="O155" s="89"/>
      <c r="P155" s="87"/>
      <c r="Q155" s="87"/>
      <c r="R155" s="90"/>
    </row>
    <row r="156" ht="22.5" customHeight="1">
      <c r="A156" s="87"/>
      <c r="B156" s="50"/>
      <c r="C156" s="64"/>
      <c r="D156" s="64"/>
      <c r="E156" s="88"/>
      <c r="F156" s="87"/>
      <c r="G156" s="50"/>
      <c r="H156" s="87"/>
      <c r="I156" s="64"/>
      <c r="J156" s="64"/>
      <c r="K156" s="64"/>
      <c r="L156" s="28"/>
      <c r="M156" s="88"/>
      <c r="N156" s="87"/>
      <c r="O156" s="89"/>
      <c r="P156" s="87"/>
      <c r="Q156" s="87"/>
      <c r="R156" s="90"/>
    </row>
    <row r="157" ht="22.5" customHeight="1">
      <c r="A157" s="87"/>
      <c r="B157" s="50"/>
      <c r="C157" s="64"/>
      <c r="D157" s="64"/>
      <c r="E157" s="88"/>
      <c r="F157" s="87"/>
      <c r="G157" s="50"/>
      <c r="H157" s="87"/>
      <c r="I157" s="64"/>
      <c r="J157" s="64"/>
      <c r="K157" s="64"/>
      <c r="L157" s="28"/>
      <c r="M157" s="88"/>
      <c r="N157" s="87"/>
      <c r="O157" s="89"/>
      <c r="P157" s="87"/>
      <c r="Q157" s="87"/>
      <c r="R157" s="90"/>
    </row>
    <row r="158" ht="22.5" customHeight="1">
      <c r="A158" s="87"/>
      <c r="B158" s="50"/>
      <c r="C158" s="64"/>
      <c r="D158" s="64"/>
      <c r="E158" s="88"/>
      <c r="F158" s="87"/>
      <c r="G158" s="50"/>
      <c r="H158" s="87"/>
      <c r="I158" s="64"/>
      <c r="J158" s="64"/>
      <c r="K158" s="64"/>
      <c r="L158" s="28"/>
      <c r="M158" s="88"/>
      <c r="N158" s="87"/>
      <c r="O158" s="89"/>
      <c r="P158" s="87"/>
      <c r="Q158" s="87"/>
      <c r="R158" s="90"/>
    </row>
    <row r="159" ht="22.5" customHeight="1">
      <c r="A159" s="87"/>
      <c r="B159" s="50"/>
      <c r="C159" s="64"/>
      <c r="D159" s="64"/>
      <c r="E159" s="88"/>
      <c r="F159" s="87"/>
      <c r="G159" s="50"/>
      <c r="H159" s="87"/>
      <c r="I159" s="64"/>
      <c r="J159" s="64"/>
      <c r="K159" s="64"/>
      <c r="L159" s="28"/>
      <c r="M159" s="88"/>
      <c r="N159" s="87"/>
      <c r="O159" s="89"/>
      <c r="P159" s="87"/>
      <c r="Q159" s="87"/>
      <c r="R159" s="90"/>
    </row>
    <row r="160" ht="22.5" customHeight="1">
      <c r="A160" s="87"/>
      <c r="B160" s="50"/>
      <c r="C160" s="64"/>
      <c r="D160" s="64"/>
      <c r="E160" s="88"/>
      <c r="F160" s="87"/>
      <c r="G160" s="50"/>
      <c r="H160" s="87"/>
      <c r="I160" s="64"/>
      <c r="J160" s="64"/>
      <c r="K160" s="64"/>
      <c r="L160" s="28"/>
      <c r="M160" s="88"/>
      <c r="N160" s="87"/>
      <c r="O160" s="89"/>
      <c r="P160" s="87"/>
      <c r="Q160" s="87"/>
      <c r="R160" s="90"/>
    </row>
    <row r="161" ht="22.5" customHeight="1">
      <c r="A161" s="87"/>
      <c r="B161" s="50"/>
      <c r="C161" s="64"/>
      <c r="D161" s="64"/>
      <c r="E161" s="88"/>
      <c r="F161" s="87"/>
      <c r="G161" s="50"/>
      <c r="H161" s="87"/>
      <c r="I161" s="64"/>
      <c r="J161" s="64"/>
      <c r="K161" s="64"/>
      <c r="L161" s="28"/>
      <c r="M161" s="88"/>
      <c r="N161" s="87"/>
      <c r="O161" s="89"/>
      <c r="P161" s="87"/>
      <c r="Q161" s="87"/>
      <c r="R161" s="90"/>
    </row>
    <row r="162" ht="22.5" customHeight="1">
      <c r="A162" s="87"/>
      <c r="B162" s="50"/>
      <c r="C162" s="64"/>
      <c r="D162" s="64"/>
      <c r="E162" s="88"/>
      <c r="F162" s="87"/>
      <c r="G162" s="50"/>
      <c r="H162" s="87"/>
      <c r="I162" s="64"/>
      <c r="J162" s="64"/>
      <c r="K162" s="64"/>
      <c r="L162" s="28"/>
      <c r="M162" s="88"/>
      <c r="N162" s="87"/>
      <c r="O162" s="89"/>
      <c r="P162" s="87"/>
      <c r="Q162" s="87"/>
      <c r="R162" s="90"/>
    </row>
    <row r="163" ht="22.5" customHeight="1">
      <c r="A163" s="87"/>
      <c r="B163" s="50"/>
      <c r="C163" s="64"/>
      <c r="D163" s="64"/>
      <c r="E163" s="88"/>
      <c r="F163" s="87"/>
      <c r="G163" s="50"/>
      <c r="H163" s="87"/>
      <c r="I163" s="64"/>
      <c r="J163" s="64"/>
      <c r="K163" s="64"/>
      <c r="L163" s="28"/>
      <c r="M163" s="88"/>
      <c r="N163" s="87"/>
      <c r="O163" s="89"/>
      <c r="P163" s="87"/>
      <c r="Q163" s="87"/>
      <c r="R163" s="90"/>
    </row>
    <row r="164" ht="22.5" customHeight="1">
      <c r="A164" s="87"/>
      <c r="B164" s="50"/>
      <c r="C164" s="64"/>
      <c r="D164" s="64"/>
      <c r="E164" s="88"/>
      <c r="F164" s="87"/>
      <c r="G164" s="50"/>
      <c r="H164" s="87"/>
      <c r="I164" s="64"/>
      <c r="J164" s="64"/>
      <c r="K164" s="64"/>
      <c r="L164" s="28"/>
      <c r="M164" s="88"/>
      <c r="N164" s="87"/>
      <c r="O164" s="89"/>
      <c r="P164" s="87"/>
      <c r="Q164" s="87"/>
      <c r="R164" s="90"/>
    </row>
    <row r="165" ht="22.5" customHeight="1">
      <c r="A165" s="87"/>
      <c r="B165" s="50"/>
      <c r="C165" s="64"/>
      <c r="D165" s="64"/>
      <c r="E165" s="88"/>
      <c r="F165" s="87"/>
      <c r="G165" s="50"/>
      <c r="H165" s="87"/>
      <c r="I165" s="64"/>
      <c r="J165" s="64"/>
      <c r="K165" s="64"/>
      <c r="L165" s="28"/>
      <c r="M165" s="88"/>
      <c r="N165" s="87"/>
      <c r="O165" s="89"/>
      <c r="P165" s="87"/>
      <c r="Q165" s="87"/>
      <c r="R165" s="90"/>
    </row>
    <row r="166" ht="22.5" customHeight="1">
      <c r="A166" s="87"/>
      <c r="B166" s="50"/>
      <c r="C166" s="64"/>
      <c r="D166" s="64"/>
      <c r="E166" s="88"/>
      <c r="F166" s="87"/>
      <c r="G166" s="50"/>
      <c r="H166" s="87"/>
      <c r="I166" s="64"/>
      <c r="J166" s="64"/>
      <c r="K166" s="64"/>
      <c r="L166" s="28"/>
      <c r="M166" s="88"/>
      <c r="N166" s="87"/>
      <c r="O166" s="89"/>
      <c r="P166" s="87"/>
      <c r="Q166" s="87"/>
      <c r="R166" s="90"/>
    </row>
    <row r="167" ht="22.5" customHeight="1">
      <c r="A167" s="87"/>
      <c r="B167" s="50"/>
      <c r="C167" s="64"/>
      <c r="D167" s="64"/>
      <c r="E167" s="88"/>
      <c r="F167" s="87"/>
      <c r="G167" s="50"/>
      <c r="H167" s="87"/>
      <c r="I167" s="64"/>
      <c r="J167" s="64"/>
      <c r="K167" s="64"/>
      <c r="L167" s="28"/>
      <c r="M167" s="88"/>
      <c r="N167" s="87"/>
      <c r="O167" s="89"/>
      <c r="P167" s="87"/>
      <c r="Q167" s="87"/>
      <c r="R167" s="90"/>
    </row>
    <row r="168" ht="22.5" customHeight="1">
      <c r="A168" s="87"/>
      <c r="B168" s="50"/>
      <c r="C168" s="64"/>
      <c r="D168" s="64"/>
      <c r="E168" s="88"/>
      <c r="F168" s="87"/>
      <c r="G168" s="50"/>
      <c r="H168" s="87"/>
      <c r="I168" s="64"/>
      <c r="J168" s="64"/>
      <c r="K168" s="64"/>
      <c r="L168" s="28"/>
      <c r="M168" s="88"/>
      <c r="N168" s="87"/>
      <c r="O168" s="89"/>
      <c r="P168" s="87"/>
      <c r="Q168" s="87"/>
      <c r="R168" s="90"/>
    </row>
    <row r="169" ht="22.5" customHeight="1">
      <c r="A169" s="87"/>
      <c r="B169" s="50"/>
      <c r="C169" s="64"/>
      <c r="D169" s="64"/>
      <c r="E169" s="88"/>
      <c r="F169" s="87"/>
      <c r="G169" s="50"/>
      <c r="H169" s="87"/>
      <c r="I169" s="64"/>
      <c r="J169" s="64"/>
      <c r="K169" s="64"/>
      <c r="L169" s="28"/>
      <c r="M169" s="88"/>
      <c r="N169" s="87"/>
      <c r="O169" s="89"/>
      <c r="P169" s="87"/>
      <c r="Q169" s="87"/>
      <c r="R169" s="90"/>
    </row>
    <row r="170" ht="22.5" customHeight="1">
      <c r="A170" s="87"/>
      <c r="B170" s="50"/>
      <c r="C170" s="64"/>
      <c r="D170" s="64"/>
      <c r="E170" s="88"/>
      <c r="F170" s="87"/>
      <c r="G170" s="50"/>
      <c r="H170" s="87"/>
      <c r="I170" s="64"/>
      <c r="J170" s="64"/>
      <c r="K170" s="64"/>
      <c r="L170" s="28"/>
      <c r="M170" s="88"/>
      <c r="N170" s="87"/>
      <c r="O170" s="89"/>
      <c r="P170" s="87"/>
      <c r="Q170" s="87"/>
      <c r="R170" s="90"/>
    </row>
    <row r="171" ht="22.5" customHeight="1">
      <c r="A171" s="87"/>
      <c r="B171" s="50"/>
      <c r="C171" s="64"/>
      <c r="D171" s="64"/>
      <c r="E171" s="88"/>
      <c r="F171" s="87"/>
      <c r="G171" s="50"/>
      <c r="H171" s="87"/>
      <c r="I171" s="64"/>
      <c r="J171" s="64"/>
      <c r="K171" s="64"/>
      <c r="L171" s="28"/>
      <c r="M171" s="88"/>
      <c r="N171" s="87"/>
      <c r="O171" s="89"/>
      <c r="P171" s="87"/>
      <c r="Q171" s="87"/>
      <c r="R171" s="90"/>
    </row>
    <row r="172" ht="22.5" customHeight="1">
      <c r="A172" s="87"/>
      <c r="B172" s="50"/>
      <c r="C172" s="64"/>
      <c r="D172" s="64"/>
      <c r="E172" s="88"/>
      <c r="F172" s="87"/>
      <c r="G172" s="50"/>
      <c r="H172" s="87"/>
      <c r="I172" s="64"/>
      <c r="J172" s="64"/>
      <c r="K172" s="64"/>
      <c r="L172" s="28"/>
      <c r="M172" s="88"/>
      <c r="N172" s="87"/>
      <c r="O172" s="89"/>
      <c r="P172" s="87"/>
      <c r="Q172" s="87"/>
      <c r="R172" s="90"/>
    </row>
    <row r="173" ht="22.5" customHeight="1">
      <c r="A173" s="87"/>
      <c r="B173" s="50"/>
      <c r="C173" s="64"/>
      <c r="D173" s="64"/>
      <c r="E173" s="88"/>
      <c r="F173" s="87"/>
      <c r="G173" s="50"/>
      <c r="H173" s="87"/>
      <c r="I173" s="64"/>
      <c r="J173" s="64"/>
      <c r="K173" s="64"/>
      <c r="L173" s="28"/>
      <c r="M173" s="88"/>
      <c r="N173" s="87"/>
      <c r="O173" s="89"/>
      <c r="P173" s="87"/>
      <c r="Q173" s="87"/>
      <c r="R173" s="90"/>
    </row>
    <row r="174" ht="22.5" customHeight="1">
      <c r="A174" s="87"/>
      <c r="B174" s="50"/>
      <c r="C174" s="64"/>
      <c r="D174" s="64"/>
      <c r="E174" s="88"/>
      <c r="F174" s="87"/>
      <c r="G174" s="50"/>
      <c r="H174" s="87"/>
      <c r="I174" s="64"/>
      <c r="J174" s="64"/>
      <c r="K174" s="64"/>
      <c r="L174" s="28"/>
      <c r="M174" s="88"/>
      <c r="N174" s="87"/>
      <c r="O174" s="89"/>
      <c r="P174" s="87"/>
      <c r="Q174" s="87"/>
      <c r="R174" s="90"/>
    </row>
    <row r="175" ht="22.5" customHeight="1">
      <c r="A175" s="87"/>
      <c r="B175" s="50"/>
      <c r="C175" s="64"/>
      <c r="D175" s="64"/>
      <c r="E175" s="88"/>
      <c r="F175" s="87"/>
      <c r="G175" s="50"/>
      <c r="H175" s="87"/>
      <c r="I175" s="64"/>
      <c r="J175" s="64"/>
      <c r="K175" s="64"/>
      <c r="L175" s="28"/>
      <c r="M175" s="88"/>
      <c r="N175" s="87"/>
      <c r="O175" s="89"/>
      <c r="P175" s="87"/>
      <c r="Q175" s="87"/>
      <c r="R175" s="90"/>
    </row>
    <row r="176" ht="22.5" customHeight="1">
      <c r="A176" s="87"/>
      <c r="B176" s="50"/>
      <c r="C176" s="64"/>
      <c r="D176" s="64"/>
      <c r="E176" s="88"/>
      <c r="F176" s="87"/>
      <c r="G176" s="50"/>
      <c r="H176" s="87"/>
      <c r="I176" s="64"/>
      <c r="J176" s="64"/>
      <c r="K176" s="64"/>
      <c r="L176" s="28"/>
      <c r="M176" s="88"/>
      <c r="N176" s="87"/>
      <c r="O176" s="89"/>
      <c r="P176" s="87"/>
      <c r="Q176" s="87"/>
      <c r="R176" s="90"/>
    </row>
    <row r="177" ht="22.5" customHeight="1">
      <c r="A177" s="87"/>
      <c r="B177" s="50"/>
      <c r="C177" s="64"/>
      <c r="D177" s="64"/>
      <c r="E177" s="88"/>
      <c r="F177" s="87"/>
      <c r="G177" s="50"/>
      <c r="H177" s="87"/>
      <c r="I177" s="64"/>
      <c r="J177" s="64"/>
      <c r="K177" s="64"/>
      <c r="L177" s="28"/>
      <c r="M177" s="88"/>
      <c r="N177" s="87"/>
      <c r="O177" s="89"/>
      <c r="P177" s="87"/>
      <c r="Q177" s="87"/>
      <c r="R177" s="90"/>
    </row>
    <row r="178" ht="22.5" customHeight="1">
      <c r="A178" s="87"/>
      <c r="B178" s="50"/>
      <c r="C178" s="64"/>
      <c r="D178" s="64"/>
      <c r="E178" s="88"/>
      <c r="F178" s="87"/>
      <c r="G178" s="50"/>
      <c r="H178" s="87"/>
      <c r="I178" s="64"/>
      <c r="J178" s="64"/>
      <c r="K178" s="64"/>
      <c r="L178" s="28"/>
      <c r="M178" s="88"/>
      <c r="N178" s="87"/>
      <c r="O178" s="89"/>
      <c r="P178" s="87"/>
      <c r="Q178" s="87"/>
      <c r="R178" s="90"/>
    </row>
    <row r="179" ht="22.5" customHeight="1">
      <c r="A179" s="87"/>
      <c r="B179" s="50"/>
      <c r="C179" s="64"/>
      <c r="D179" s="64"/>
      <c r="E179" s="88"/>
      <c r="F179" s="87"/>
      <c r="G179" s="50"/>
      <c r="H179" s="87"/>
      <c r="I179" s="64"/>
      <c r="J179" s="64"/>
      <c r="K179" s="64"/>
      <c r="L179" s="28"/>
      <c r="M179" s="88"/>
      <c r="N179" s="87"/>
      <c r="O179" s="89"/>
      <c r="P179" s="87"/>
      <c r="Q179" s="87"/>
      <c r="R179" s="90"/>
    </row>
    <row r="180" ht="22.5" customHeight="1">
      <c r="A180" s="87"/>
      <c r="B180" s="50"/>
      <c r="C180" s="64"/>
      <c r="D180" s="64"/>
      <c r="E180" s="88"/>
      <c r="F180" s="87"/>
      <c r="G180" s="50"/>
      <c r="H180" s="87"/>
      <c r="I180" s="64"/>
      <c r="J180" s="64"/>
      <c r="K180" s="64"/>
      <c r="L180" s="28"/>
      <c r="M180" s="88"/>
      <c r="N180" s="87"/>
      <c r="O180" s="89"/>
      <c r="P180" s="87"/>
      <c r="Q180" s="87"/>
      <c r="R180" s="90"/>
    </row>
    <row r="181" ht="22.5" customHeight="1">
      <c r="A181" s="87"/>
      <c r="B181" s="50"/>
      <c r="C181" s="64"/>
      <c r="D181" s="64"/>
      <c r="E181" s="88"/>
      <c r="F181" s="87"/>
      <c r="G181" s="50"/>
      <c r="H181" s="87"/>
      <c r="I181" s="64"/>
      <c r="J181" s="64"/>
      <c r="K181" s="64"/>
      <c r="L181" s="28"/>
      <c r="M181" s="88"/>
      <c r="N181" s="87"/>
      <c r="O181" s="89"/>
      <c r="P181" s="87"/>
      <c r="Q181" s="87"/>
      <c r="R181" s="90"/>
    </row>
    <row r="182">
      <c r="G182" s="54"/>
      <c r="L182" s="91"/>
    </row>
    <row r="183">
      <c r="G183" s="54"/>
      <c r="L183" s="91"/>
    </row>
    <row r="184">
      <c r="G184" s="54"/>
      <c r="L184" s="91"/>
    </row>
    <row r="185">
      <c r="G185" s="54"/>
      <c r="L185" s="91"/>
    </row>
    <row r="186">
      <c r="G186" s="54"/>
      <c r="L186" s="91"/>
    </row>
    <row r="187">
      <c r="G187" s="54"/>
      <c r="L187" s="91"/>
    </row>
    <row r="188">
      <c r="G188" s="54"/>
      <c r="L188" s="91"/>
    </row>
    <row r="189">
      <c r="G189" s="54"/>
      <c r="L189" s="91"/>
    </row>
    <row r="190">
      <c r="G190" s="54"/>
      <c r="L190" s="91"/>
    </row>
    <row r="191">
      <c r="G191" s="54"/>
      <c r="L191" s="91"/>
    </row>
    <row r="192">
      <c r="G192" s="54"/>
      <c r="L192" s="91"/>
    </row>
    <row r="193">
      <c r="G193" s="54"/>
      <c r="L193" s="91"/>
    </row>
    <row r="194">
      <c r="G194" s="54"/>
      <c r="L194" s="91"/>
    </row>
    <row r="195">
      <c r="G195" s="54"/>
      <c r="L195" s="91"/>
    </row>
    <row r="196">
      <c r="G196" s="54"/>
      <c r="L196" s="91"/>
    </row>
    <row r="197">
      <c r="G197" s="54"/>
      <c r="L197" s="91"/>
    </row>
    <row r="198">
      <c r="G198" s="54"/>
      <c r="L198" s="91"/>
    </row>
    <row r="199">
      <c r="G199" s="54"/>
      <c r="L199" s="91"/>
    </row>
    <row r="200">
      <c r="G200" s="54"/>
      <c r="L200" s="91"/>
    </row>
    <row r="201">
      <c r="G201" s="54"/>
      <c r="L201" s="91"/>
    </row>
    <row r="202">
      <c r="G202" s="54"/>
      <c r="L202" s="91"/>
    </row>
    <row r="203">
      <c r="G203" s="54"/>
      <c r="L203" s="91"/>
    </row>
    <row r="204">
      <c r="G204" s="54"/>
      <c r="L204" s="91"/>
    </row>
    <row r="205">
      <c r="G205" s="54"/>
      <c r="L205" s="91"/>
    </row>
    <row r="206">
      <c r="G206" s="54"/>
      <c r="L206" s="91"/>
    </row>
    <row r="207">
      <c r="G207" s="54"/>
      <c r="L207" s="91"/>
    </row>
    <row r="208">
      <c r="G208" s="54"/>
      <c r="L208" s="91"/>
    </row>
    <row r="209">
      <c r="G209" s="54"/>
      <c r="L209" s="91"/>
    </row>
    <row r="210">
      <c r="G210" s="54"/>
      <c r="L210" s="91"/>
    </row>
    <row r="211">
      <c r="G211" s="54"/>
      <c r="L211" s="91"/>
    </row>
    <row r="212">
      <c r="G212" s="54"/>
      <c r="L212" s="91"/>
    </row>
    <row r="213">
      <c r="G213" s="54"/>
      <c r="L213" s="91"/>
    </row>
    <row r="214">
      <c r="G214" s="54"/>
      <c r="L214" s="91"/>
    </row>
    <row r="215">
      <c r="G215" s="54"/>
      <c r="L215" s="91"/>
    </row>
    <row r="216">
      <c r="G216" s="54"/>
      <c r="L216" s="91"/>
    </row>
    <row r="217">
      <c r="G217" s="54"/>
      <c r="L217" s="91"/>
    </row>
    <row r="218">
      <c r="G218" s="54"/>
      <c r="L218" s="91"/>
    </row>
    <row r="219">
      <c r="G219" s="54"/>
      <c r="L219" s="91"/>
    </row>
    <row r="220">
      <c r="G220" s="54"/>
      <c r="L220" s="91"/>
    </row>
    <row r="221">
      <c r="G221" s="54"/>
      <c r="L221" s="91"/>
    </row>
    <row r="222">
      <c r="G222" s="54"/>
      <c r="L222" s="91"/>
    </row>
    <row r="223">
      <c r="G223" s="54"/>
      <c r="L223" s="91"/>
    </row>
    <row r="224">
      <c r="G224" s="54"/>
      <c r="L224" s="91"/>
    </row>
    <row r="225">
      <c r="G225" s="54"/>
      <c r="L225" s="91"/>
    </row>
    <row r="226">
      <c r="G226" s="54"/>
      <c r="L226" s="91"/>
    </row>
    <row r="227">
      <c r="G227" s="54"/>
      <c r="L227" s="91"/>
    </row>
    <row r="228">
      <c r="G228" s="54"/>
      <c r="L228" s="91"/>
    </row>
    <row r="229">
      <c r="G229" s="54"/>
      <c r="L229" s="91"/>
    </row>
    <row r="230">
      <c r="G230" s="54"/>
      <c r="L230" s="91"/>
    </row>
    <row r="231">
      <c r="G231" s="54"/>
      <c r="L231" s="91"/>
    </row>
    <row r="232">
      <c r="G232" s="54"/>
      <c r="L232" s="91"/>
    </row>
    <row r="233">
      <c r="G233" s="54"/>
      <c r="L233" s="91"/>
    </row>
    <row r="234">
      <c r="G234" s="54"/>
      <c r="L234" s="91"/>
    </row>
    <row r="235">
      <c r="G235" s="54"/>
      <c r="L235" s="91"/>
    </row>
    <row r="236">
      <c r="G236" s="54"/>
      <c r="L236" s="91"/>
    </row>
    <row r="237">
      <c r="G237" s="54"/>
      <c r="L237" s="91"/>
    </row>
    <row r="238">
      <c r="G238" s="54"/>
      <c r="L238" s="91"/>
    </row>
    <row r="239">
      <c r="G239" s="54"/>
      <c r="L239" s="91"/>
    </row>
    <row r="240">
      <c r="G240" s="54"/>
      <c r="L240" s="91"/>
    </row>
    <row r="241">
      <c r="G241" s="54"/>
      <c r="L241" s="91"/>
    </row>
    <row r="242">
      <c r="G242" s="54"/>
      <c r="L242" s="91"/>
    </row>
    <row r="243">
      <c r="G243" s="54"/>
      <c r="L243" s="91"/>
    </row>
    <row r="244">
      <c r="G244" s="54"/>
      <c r="L244" s="91"/>
    </row>
    <row r="245">
      <c r="G245" s="54"/>
      <c r="L245" s="91"/>
    </row>
    <row r="246">
      <c r="G246" s="54"/>
      <c r="L246" s="91"/>
    </row>
    <row r="247">
      <c r="G247" s="54"/>
      <c r="L247" s="91"/>
    </row>
    <row r="248">
      <c r="G248" s="54"/>
      <c r="L248" s="91"/>
    </row>
    <row r="249">
      <c r="G249" s="54"/>
      <c r="L249" s="91"/>
    </row>
    <row r="250">
      <c r="G250" s="54"/>
      <c r="L250" s="91"/>
    </row>
    <row r="251">
      <c r="G251" s="54"/>
      <c r="L251" s="91"/>
    </row>
    <row r="252">
      <c r="G252" s="54"/>
      <c r="L252" s="91"/>
    </row>
    <row r="253">
      <c r="G253" s="54"/>
      <c r="L253" s="91"/>
    </row>
    <row r="254">
      <c r="G254" s="54"/>
      <c r="L254" s="91"/>
    </row>
    <row r="255">
      <c r="G255" s="54"/>
      <c r="L255" s="91"/>
    </row>
    <row r="256">
      <c r="G256" s="54"/>
      <c r="L256" s="91"/>
    </row>
    <row r="257">
      <c r="G257" s="54"/>
      <c r="L257" s="91"/>
    </row>
    <row r="258">
      <c r="G258" s="54"/>
      <c r="L258" s="91"/>
    </row>
    <row r="259">
      <c r="G259" s="54"/>
      <c r="L259" s="91"/>
    </row>
    <row r="260">
      <c r="G260" s="54"/>
      <c r="L260" s="91"/>
    </row>
    <row r="261">
      <c r="G261" s="54"/>
      <c r="L261" s="91"/>
    </row>
    <row r="262">
      <c r="G262" s="54"/>
      <c r="L262" s="91"/>
    </row>
    <row r="263">
      <c r="G263" s="54"/>
      <c r="L263" s="91"/>
    </row>
    <row r="264">
      <c r="G264" s="54"/>
      <c r="L264" s="91"/>
    </row>
    <row r="265">
      <c r="G265" s="54"/>
      <c r="L265" s="91"/>
    </row>
    <row r="266">
      <c r="G266" s="54"/>
      <c r="L266" s="91"/>
    </row>
    <row r="267">
      <c r="G267" s="54"/>
      <c r="L267" s="91"/>
    </row>
    <row r="268">
      <c r="G268" s="54"/>
      <c r="L268" s="91"/>
    </row>
    <row r="269">
      <c r="G269" s="54"/>
      <c r="L269" s="91"/>
    </row>
    <row r="270">
      <c r="G270" s="54"/>
      <c r="L270" s="91"/>
    </row>
    <row r="271">
      <c r="G271" s="54"/>
      <c r="L271" s="91"/>
    </row>
    <row r="272">
      <c r="G272" s="54"/>
      <c r="L272" s="91"/>
    </row>
    <row r="273">
      <c r="G273" s="54"/>
      <c r="L273" s="91"/>
    </row>
    <row r="274">
      <c r="G274" s="54"/>
      <c r="L274" s="91"/>
    </row>
    <row r="275">
      <c r="G275" s="54"/>
      <c r="L275" s="91"/>
    </row>
    <row r="276">
      <c r="G276" s="54"/>
      <c r="L276" s="91"/>
    </row>
    <row r="277">
      <c r="G277" s="54"/>
      <c r="L277" s="91"/>
    </row>
    <row r="278">
      <c r="G278" s="54"/>
      <c r="L278" s="91"/>
    </row>
    <row r="279">
      <c r="G279" s="54"/>
      <c r="L279" s="91"/>
    </row>
    <row r="280">
      <c r="G280" s="54"/>
      <c r="L280" s="91"/>
    </row>
    <row r="281">
      <c r="G281" s="54"/>
      <c r="L281" s="91"/>
    </row>
    <row r="282">
      <c r="G282" s="54"/>
      <c r="L282" s="91"/>
    </row>
    <row r="283">
      <c r="G283" s="54"/>
      <c r="L283" s="91"/>
    </row>
    <row r="284">
      <c r="G284" s="54"/>
      <c r="L284" s="91"/>
    </row>
    <row r="285">
      <c r="G285" s="54"/>
      <c r="L285" s="91"/>
    </row>
    <row r="286">
      <c r="G286" s="54"/>
      <c r="L286" s="91"/>
    </row>
    <row r="287">
      <c r="G287" s="54"/>
      <c r="L287" s="91"/>
    </row>
    <row r="288">
      <c r="G288" s="54"/>
      <c r="L288" s="91"/>
    </row>
    <row r="289">
      <c r="G289" s="54"/>
      <c r="L289" s="91"/>
    </row>
    <row r="290">
      <c r="G290" s="54"/>
      <c r="L290" s="91"/>
    </row>
    <row r="291">
      <c r="G291" s="54"/>
      <c r="L291" s="91"/>
    </row>
    <row r="292">
      <c r="G292" s="54"/>
      <c r="L292" s="91"/>
    </row>
    <row r="293">
      <c r="G293" s="54"/>
      <c r="L293" s="91"/>
    </row>
    <row r="294">
      <c r="G294" s="54"/>
      <c r="L294" s="91"/>
    </row>
    <row r="295">
      <c r="G295" s="54"/>
      <c r="L295" s="91"/>
    </row>
    <row r="296">
      <c r="G296" s="54"/>
      <c r="L296" s="91"/>
    </row>
    <row r="297">
      <c r="G297" s="54"/>
      <c r="L297" s="91"/>
    </row>
    <row r="298">
      <c r="G298" s="54"/>
      <c r="L298" s="91"/>
    </row>
    <row r="299">
      <c r="G299" s="54"/>
      <c r="L299" s="91"/>
    </row>
    <row r="300">
      <c r="G300" s="54"/>
      <c r="L300" s="91"/>
    </row>
    <row r="301">
      <c r="G301" s="54"/>
      <c r="L301" s="91"/>
    </row>
    <row r="302">
      <c r="G302" s="54"/>
      <c r="L302" s="91"/>
    </row>
    <row r="303">
      <c r="G303" s="54"/>
      <c r="L303" s="91"/>
    </row>
    <row r="304">
      <c r="G304" s="54"/>
      <c r="L304" s="91"/>
    </row>
    <row r="305">
      <c r="G305" s="54"/>
      <c r="L305" s="91"/>
    </row>
    <row r="306">
      <c r="G306" s="54"/>
      <c r="L306" s="91"/>
    </row>
    <row r="307">
      <c r="G307" s="54"/>
      <c r="L307" s="91"/>
    </row>
    <row r="308">
      <c r="G308" s="54"/>
      <c r="L308" s="91"/>
    </row>
    <row r="309">
      <c r="G309" s="54"/>
      <c r="L309" s="91"/>
    </row>
    <row r="310">
      <c r="G310" s="54"/>
      <c r="L310" s="91"/>
    </row>
    <row r="311">
      <c r="G311" s="54"/>
      <c r="L311" s="91"/>
    </row>
    <row r="312">
      <c r="G312" s="54"/>
      <c r="L312" s="91"/>
    </row>
    <row r="313">
      <c r="G313" s="54"/>
      <c r="L313" s="91"/>
    </row>
    <row r="314">
      <c r="G314" s="54"/>
      <c r="L314" s="91"/>
    </row>
    <row r="315">
      <c r="G315" s="54"/>
      <c r="L315" s="91"/>
    </row>
    <row r="316">
      <c r="G316" s="54"/>
      <c r="L316" s="91"/>
    </row>
    <row r="317">
      <c r="G317" s="54"/>
      <c r="L317" s="91"/>
    </row>
    <row r="318">
      <c r="G318" s="54"/>
      <c r="L318" s="91"/>
    </row>
    <row r="319">
      <c r="G319" s="54"/>
      <c r="L319" s="91"/>
    </row>
    <row r="320">
      <c r="G320" s="54"/>
      <c r="L320" s="91"/>
    </row>
    <row r="321">
      <c r="G321" s="54"/>
      <c r="L321" s="91"/>
    </row>
    <row r="322">
      <c r="G322" s="54"/>
      <c r="L322" s="91"/>
    </row>
    <row r="323">
      <c r="G323" s="54"/>
      <c r="L323" s="91"/>
    </row>
    <row r="324">
      <c r="G324" s="54"/>
      <c r="L324" s="91"/>
    </row>
    <row r="325">
      <c r="G325" s="54"/>
      <c r="L325" s="91"/>
    </row>
    <row r="326">
      <c r="G326" s="54"/>
      <c r="L326" s="91"/>
    </row>
    <row r="327">
      <c r="G327" s="54"/>
      <c r="L327" s="91"/>
    </row>
    <row r="328">
      <c r="G328" s="54"/>
      <c r="L328" s="91"/>
    </row>
    <row r="329">
      <c r="G329" s="54"/>
      <c r="L329" s="91"/>
    </row>
    <row r="330">
      <c r="G330" s="54"/>
      <c r="L330" s="91"/>
    </row>
    <row r="331">
      <c r="G331" s="54"/>
      <c r="L331" s="91"/>
    </row>
    <row r="332">
      <c r="G332" s="54"/>
      <c r="L332" s="91"/>
    </row>
    <row r="333">
      <c r="G333" s="54"/>
      <c r="L333" s="91"/>
    </row>
    <row r="334">
      <c r="G334" s="54"/>
      <c r="L334" s="91"/>
    </row>
    <row r="335">
      <c r="G335" s="54"/>
      <c r="L335" s="91"/>
    </row>
    <row r="336">
      <c r="G336" s="54"/>
      <c r="L336" s="91"/>
    </row>
    <row r="337">
      <c r="G337" s="54"/>
      <c r="L337" s="91"/>
    </row>
    <row r="338">
      <c r="G338" s="54"/>
      <c r="L338" s="91"/>
    </row>
    <row r="339">
      <c r="G339" s="54"/>
      <c r="L339" s="91"/>
    </row>
    <row r="340">
      <c r="G340" s="54"/>
      <c r="L340" s="91"/>
    </row>
    <row r="341">
      <c r="G341" s="54"/>
      <c r="L341" s="91"/>
    </row>
    <row r="342">
      <c r="G342" s="54"/>
      <c r="L342" s="91"/>
    </row>
    <row r="343">
      <c r="G343" s="54"/>
      <c r="L343" s="91"/>
    </row>
    <row r="344">
      <c r="G344" s="54"/>
      <c r="L344" s="91"/>
    </row>
    <row r="345">
      <c r="G345" s="54"/>
      <c r="L345" s="91"/>
    </row>
    <row r="346">
      <c r="G346" s="54"/>
      <c r="L346" s="91"/>
    </row>
    <row r="347">
      <c r="G347" s="54"/>
      <c r="L347" s="91"/>
    </row>
    <row r="348">
      <c r="G348" s="54"/>
      <c r="L348" s="91"/>
    </row>
    <row r="349">
      <c r="G349" s="54"/>
      <c r="L349" s="91"/>
    </row>
    <row r="350">
      <c r="G350" s="54"/>
      <c r="L350" s="91"/>
    </row>
    <row r="351">
      <c r="G351" s="54"/>
      <c r="L351" s="91"/>
    </row>
    <row r="352">
      <c r="G352" s="54"/>
      <c r="L352" s="91"/>
    </row>
    <row r="353">
      <c r="G353" s="54"/>
      <c r="L353" s="91"/>
    </row>
    <row r="354">
      <c r="G354" s="54"/>
      <c r="L354" s="91"/>
    </row>
    <row r="355">
      <c r="G355" s="54"/>
      <c r="L355" s="91"/>
    </row>
    <row r="356">
      <c r="G356" s="54"/>
      <c r="L356" s="91"/>
    </row>
    <row r="357">
      <c r="G357" s="54"/>
      <c r="L357" s="91"/>
    </row>
    <row r="358">
      <c r="G358" s="54"/>
      <c r="L358" s="91"/>
    </row>
    <row r="359">
      <c r="G359" s="54"/>
      <c r="L359" s="91"/>
    </row>
    <row r="360">
      <c r="G360" s="54"/>
      <c r="L360" s="91"/>
    </row>
    <row r="361">
      <c r="G361" s="54"/>
      <c r="L361" s="91"/>
    </row>
    <row r="362">
      <c r="G362" s="54"/>
      <c r="L362" s="91"/>
    </row>
    <row r="363">
      <c r="G363" s="54"/>
      <c r="L363" s="91"/>
    </row>
    <row r="364">
      <c r="G364" s="54"/>
      <c r="L364" s="91"/>
    </row>
    <row r="365">
      <c r="G365" s="54"/>
      <c r="L365" s="91"/>
    </row>
    <row r="366">
      <c r="G366" s="54"/>
      <c r="L366" s="91"/>
    </row>
    <row r="367">
      <c r="G367" s="54"/>
      <c r="L367" s="91"/>
    </row>
    <row r="368">
      <c r="G368" s="54"/>
      <c r="L368" s="91"/>
    </row>
    <row r="369">
      <c r="G369" s="54"/>
      <c r="L369" s="91"/>
    </row>
    <row r="370">
      <c r="G370" s="54"/>
      <c r="L370" s="91"/>
    </row>
    <row r="371">
      <c r="G371" s="54"/>
      <c r="L371" s="91"/>
    </row>
    <row r="372">
      <c r="G372" s="54"/>
      <c r="L372" s="91"/>
    </row>
    <row r="373">
      <c r="G373" s="54"/>
      <c r="L373" s="91"/>
    </row>
    <row r="374">
      <c r="G374" s="54"/>
      <c r="L374" s="91"/>
    </row>
    <row r="375">
      <c r="G375" s="54"/>
      <c r="L375" s="91"/>
    </row>
    <row r="376">
      <c r="G376" s="54"/>
      <c r="L376" s="91"/>
    </row>
    <row r="377">
      <c r="G377" s="54"/>
      <c r="L377" s="91"/>
    </row>
    <row r="378">
      <c r="G378" s="54"/>
      <c r="L378" s="91"/>
    </row>
    <row r="379">
      <c r="G379" s="54"/>
      <c r="L379" s="91"/>
    </row>
    <row r="380">
      <c r="G380" s="54"/>
      <c r="L380" s="91"/>
    </row>
    <row r="381">
      <c r="G381" s="54"/>
      <c r="L381" s="91"/>
    </row>
    <row r="382">
      <c r="G382" s="54"/>
      <c r="L382" s="91"/>
    </row>
    <row r="383">
      <c r="G383" s="54"/>
      <c r="L383" s="91"/>
    </row>
    <row r="384">
      <c r="G384" s="54"/>
      <c r="L384" s="91"/>
    </row>
    <row r="385">
      <c r="G385" s="54"/>
      <c r="L385" s="91"/>
    </row>
    <row r="386">
      <c r="G386" s="54"/>
      <c r="L386" s="91"/>
    </row>
    <row r="387">
      <c r="G387" s="54"/>
      <c r="L387" s="91"/>
    </row>
    <row r="388">
      <c r="G388" s="54"/>
      <c r="L388" s="91"/>
    </row>
    <row r="389">
      <c r="G389" s="54"/>
      <c r="L389" s="91"/>
    </row>
    <row r="390">
      <c r="G390" s="54"/>
      <c r="L390" s="91"/>
    </row>
    <row r="391">
      <c r="G391" s="54"/>
      <c r="L391" s="91"/>
    </row>
    <row r="392">
      <c r="G392" s="54"/>
      <c r="L392" s="91"/>
    </row>
    <row r="393">
      <c r="G393" s="54"/>
      <c r="L393" s="91"/>
    </row>
    <row r="394">
      <c r="G394" s="54"/>
      <c r="L394" s="91"/>
    </row>
    <row r="395">
      <c r="G395" s="54"/>
      <c r="L395" s="91"/>
    </row>
    <row r="396">
      <c r="G396" s="54"/>
      <c r="L396" s="91"/>
    </row>
    <row r="397">
      <c r="G397" s="54"/>
      <c r="L397" s="91"/>
    </row>
    <row r="398">
      <c r="G398" s="54"/>
      <c r="L398" s="91"/>
    </row>
    <row r="399">
      <c r="G399" s="54"/>
      <c r="L399" s="91"/>
    </row>
    <row r="400">
      <c r="G400" s="54"/>
      <c r="L400" s="91"/>
    </row>
    <row r="401">
      <c r="G401" s="54"/>
      <c r="L401" s="91"/>
    </row>
    <row r="402">
      <c r="G402" s="54"/>
      <c r="L402" s="91"/>
    </row>
    <row r="403">
      <c r="G403" s="54"/>
      <c r="L403" s="91"/>
    </row>
    <row r="404">
      <c r="G404" s="54"/>
      <c r="L404" s="91"/>
    </row>
    <row r="405">
      <c r="G405" s="54"/>
      <c r="L405" s="91"/>
    </row>
    <row r="406">
      <c r="G406" s="54"/>
      <c r="L406" s="91"/>
    </row>
    <row r="407">
      <c r="G407" s="54"/>
      <c r="L407" s="91"/>
    </row>
    <row r="408">
      <c r="G408" s="54"/>
      <c r="L408" s="91"/>
    </row>
    <row r="409">
      <c r="G409" s="54"/>
      <c r="L409" s="91"/>
    </row>
    <row r="410">
      <c r="G410" s="54"/>
      <c r="L410" s="91"/>
    </row>
    <row r="411">
      <c r="G411" s="54"/>
      <c r="L411" s="91"/>
    </row>
    <row r="412">
      <c r="G412" s="54"/>
      <c r="L412" s="91"/>
    </row>
    <row r="413">
      <c r="G413" s="54"/>
      <c r="L413" s="91"/>
    </row>
    <row r="414">
      <c r="G414" s="54"/>
      <c r="L414" s="91"/>
    </row>
    <row r="415">
      <c r="G415" s="54"/>
      <c r="L415" s="91"/>
    </row>
    <row r="416">
      <c r="G416" s="54"/>
      <c r="L416" s="91"/>
    </row>
    <row r="417">
      <c r="G417" s="54"/>
      <c r="L417" s="91"/>
    </row>
    <row r="418">
      <c r="G418" s="54"/>
      <c r="L418" s="91"/>
    </row>
    <row r="419">
      <c r="G419" s="54"/>
      <c r="L419" s="91"/>
    </row>
    <row r="420">
      <c r="G420" s="54"/>
      <c r="L420" s="91"/>
    </row>
    <row r="421">
      <c r="G421" s="54"/>
      <c r="L421" s="91"/>
    </row>
    <row r="422">
      <c r="G422" s="54"/>
      <c r="L422" s="91"/>
    </row>
    <row r="423">
      <c r="G423" s="54"/>
      <c r="L423" s="91"/>
    </row>
    <row r="424">
      <c r="G424" s="54"/>
      <c r="L424" s="91"/>
    </row>
    <row r="425">
      <c r="G425" s="54"/>
      <c r="L425" s="91"/>
    </row>
    <row r="426">
      <c r="G426" s="54"/>
      <c r="L426" s="91"/>
    </row>
    <row r="427">
      <c r="G427" s="54"/>
      <c r="L427" s="91"/>
    </row>
    <row r="428">
      <c r="G428" s="54"/>
      <c r="L428" s="91"/>
    </row>
    <row r="429">
      <c r="G429" s="54"/>
      <c r="L429" s="91"/>
    </row>
    <row r="430">
      <c r="G430" s="54"/>
      <c r="L430" s="91"/>
    </row>
    <row r="431">
      <c r="G431" s="54"/>
      <c r="L431" s="91"/>
    </row>
    <row r="432">
      <c r="G432" s="54"/>
      <c r="L432" s="91"/>
    </row>
    <row r="433">
      <c r="G433" s="54"/>
      <c r="L433" s="91"/>
    </row>
    <row r="434">
      <c r="G434" s="54"/>
      <c r="L434" s="91"/>
    </row>
    <row r="435">
      <c r="G435" s="54"/>
      <c r="L435" s="91"/>
    </row>
    <row r="436">
      <c r="G436" s="54"/>
      <c r="L436" s="91"/>
    </row>
    <row r="437">
      <c r="G437" s="54"/>
      <c r="L437" s="91"/>
    </row>
    <row r="438">
      <c r="G438" s="54"/>
      <c r="L438" s="91"/>
    </row>
    <row r="439">
      <c r="G439" s="54"/>
      <c r="L439" s="91"/>
    </row>
    <row r="440">
      <c r="G440" s="54"/>
      <c r="L440" s="91"/>
    </row>
    <row r="441">
      <c r="G441" s="54"/>
      <c r="L441" s="91"/>
    </row>
    <row r="442">
      <c r="G442" s="54"/>
      <c r="L442" s="91"/>
    </row>
    <row r="443">
      <c r="G443" s="54"/>
      <c r="L443" s="91"/>
    </row>
    <row r="444">
      <c r="G444" s="54"/>
      <c r="L444" s="91"/>
    </row>
    <row r="445">
      <c r="G445" s="54"/>
      <c r="L445" s="91"/>
    </row>
    <row r="446">
      <c r="G446" s="54"/>
      <c r="L446" s="91"/>
    </row>
    <row r="447">
      <c r="G447" s="54"/>
      <c r="L447" s="91"/>
    </row>
    <row r="448">
      <c r="G448" s="54"/>
      <c r="L448" s="91"/>
    </row>
    <row r="449">
      <c r="G449" s="54"/>
      <c r="L449" s="91"/>
    </row>
    <row r="450">
      <c r="G450" s="54"/>
      <c r="L450" s="91"/>
    </row>
    <row r="451">
      <c r="G451" s="54"/>
      <c r="L451" s="91"/>
    </row>
    <row r="452">
      <c r="G452" s="54"/>
      <c r="L452" s="91"/>
    </row>
    <row r="453">
      <c r="G453" s="54"/>
      <c r="L453" s="91"/>
    </row>
    <row r="454">
      <c r="G454" s="54"/>
      <c r="L454" s="91"/>
    </row>
    <row r="455">
      <c r="G455" s="54"/>
      <c r="L455" s="91"/>
    </row>
    <row r="456">
      <c r="G456" s="54"/>
      <c r="L456" s="91"/>
    </row>
    <row r="457">
      <c r="G457" s="54"/>
      <c r="L457" s="91"/>
    </row>
    <row r="458">
      <c r="G458" s="54"/>
      <c r="L458" s="91"/>
    </row>
    <row r="459">
      <c r="G459" s="54"/>
      <c r="L459" s="91"/>
    </row>
    <row r="460">
      <c r="G460" s="54"/>
      <c r="L460" s="91"/>
    </row>
    <row r="461">
      <c r="G461" s="54"/>
      <c r="L461" s="91"/>
    </row>
    <row r="462">
      <c r="G462" s="54"/>
      <c r="L462" s="91"/>
    </row>
    <row r="463">
      <c r="G463" s="54"/>
      <c r="L463" s="91"/>
    </row>
    <row r="464">
      <c r="G464" s="54"/>
      <c r="L464" s="91"/>
    </row>
    <row r="465">
      <c r="G465" s="54"/>
      <c r="L465" s="91"/>
    </row>
    <row r="466">
      <c r="G466" s="54"/>
      <c r="L466" s="91"/>
    </row>
    <row r="467">
      <c r="G467" s="54"/>
      <c r="L467" s="91"/>
    </row>
    <row r="468">
      <c r="G468" s="54"/>
      <c r="L468" s="91"/>
    </row>
    <row r="469">
      <c r="G469" s="54"/>
      <c r="L469" s="91"/>
    </row>
    <row r="470">
      <c r="G470" s="54"/>
      <c r="L470" s="91"/>
    </row>
    <row r="471">
      <c r="G471" s="54"/>
      <c r="L471" s="91"/>
    </row>
    <row r="472">
      <c r="G472" s="54"/>
      <c r="L472" s="91"/>
    </row>
    <row r="473">
      <c r="G473" s="54"/>
      <c r="L473" s="91"/>
    </row>
    <row r="474">
      <c r="G474" s="54"/>
      <c r="L474" s="91"/>
    </row>
    <row r="475">
      <c r="G475" s="54"/>
      <c r="L475" s="91"/>
    </row>
    <row r="476">
      <c r="G476" s="54"/>
      <c r="L476" s="91"/>
    </row>
    <row r="477">
      <c r="G477" s="54"/>
      <c r="L477" s="91"/>
    </row>
    <row r="478">
      <c r="G478" s="54"/>
      <c r="L478" s="91"/>
    </row>
    <row r="479">
      <c r="G479" s="54"/>
      <c r="L479" s="91"/>
    </row>
    <row r="480">
      <c r="G480" s="54"/>
      <c r="L480" s="91"/>
    </row>
    <row r="481">
      <c r="G481" s="54"/>
      <c r="L481" s="91"/>
    </row>
    <row r="482">
      <c r="G482" s="54"/>
      <c r="L482" s="91"/>
    </row>
    <row r="483">
      <c r="G483" s="54"/>
      <c r="L483" s="91"/>
    </row>
    <row r="484">
      <c r="G484" s="54"/>
      <c r="L484" s="91"/>
    </row>
    <row r="485">
      <c r="G485" s="54"/>
      <c r="L485" s="91"/>
    </row>
    <row r="486">
      <c r="G486" s="54"/>
      <c r="L486" s="91"/>
    </row>
    <row r="487">
      <c r="G487" s="54"/>
      <c r="L487" s="91"/>
    </row>
    <row r="488">
      <c r="G488" s="54"/>
      <c r="L488" s="91"/>
    </row>
    <row r="489">
      <c r="G489" s="54"/>
      <c r="L489" s="91"/>
    </row>
    <row r="490">
      <c r="G490" s="54"/>
      <c r="L490" s="91"/>
    </row>
    <row r="491">
      <c r="G491" s="54"/>
      <c r="L491" s="91"/>
    </row>
    <row r="492">
      <c r="G492" s="54"/>
      <c r="L492" s="91"/>
    </row>
    <row r="493">
      <c r="G493" s="54"/>
      <c r="L493" s="91"/>
    </row>
    <row r="494">
      <c r="G494" s="54"/>
      <c r="L494" s="91"/>
    </row>
    <row r="495">
      <c r="G495" s="54"/>
      <c r="L495" s="91"/>
    </row>
    <row r="496">
      <c r="G496" s="54"/>
      <c r="L496" s="91"/>
    </row>
    <row r="497">
      <c r="G497" s="54"/>
      <c r="L497" s="91"/>
    </row>
    <row r="498">
      <c r="G498" s="54"/>
      <c r="L498" s="91"/>
    </row>
    <row r="499">
      <c r="G499" s="54"/>
      <c r="L499" s="91"/>
    </row>
    <row r="500">
      <c r="G500" s="54"/>
      <c r="L500" s="91"/>
    </row>
    <row r="501">
      <c r="G501" s="54"/>
      <c r="L501" s="91"/>
    </row>
    <row r="502">
      <c r="G502" s="54"/>
      <c r="L502" s="91"/>
    </row>
    <row r="503">
      <c r="G503" s="54"/>
      <c r="L503" s="91"/>
    </row>
    <row r="504">
      <c r="G504" s="54"/>
      <c r="L504" s="91"/>
    </row>
    <row r="505">
      <c r="G505" s="54"/>
      <c r="L505" s="91"/>
    </row>
    <row r="506">
      <c r="G506" s="54"/>
      <c r="L506" s="91"/>
    </row>
    <row r="507">
      <c r="G507" s="54"/>
      <c r="L507" s="91"/>
    </row>
    <row r="508">
      <c r="G508" s="54"/>
      <c r="L508" s="91"/>
    </row>
    <row r="509">
      <c r="G509" s="54"/>
      <c r="L509" s="91"/>
    </row>
    <row r="510">
      <c r="G510" s="54"/>
      <c r="L510" s="91"/>
    </row>
    <row r="511">
      <c r="G511" s="54"/>
      <c r="L511" s="91"/>
    </row>
    <row r="512">
      <c r="G512" s="54"/>
      <c r="L512" s="91"/>
    </row>
    <row r="513">
      <c r="G513" s="54"/>
      <c r="L513" s="91"/>
    </row>
    <row r="514">
      <c r="G514" s="54"/>
      <c r="L514" s="91"/>
    </row>
    <row r="515">
      <c r="G515" s="54"/>
      <c r="L515" s="91"/>
    </row>
    <row r="516">
      <c r="G516" s="54"/>
      <c r="L516" s="91"/>
    </row>
    <row r="517">
      <c r="G517" s="54"/>
      <c r="L517" s="91"/>
    </row>
    <row r="518">
      <c r="G518" s="54"/>
      <c r="L518" s="91"/>
    </row>
    <row r="519">
      <c r="G519" s="54"/>
      <c r="L519" s="91"/>
    </row>
    <row r="520">
      <c r="G520" s="54"/>
      <c r="L520" s="91"/>
    </row>
    <row r="521">
      <c r="G521" s="54"/>
      <c r="L521" s="91"/>
    </row>
    <row r="522">
      <c r="G522" s="54"/>
      <c r="L522" s="91"/>
    </row>
    <row r="523">
      <c r="G523" s="54"/>
      <c r="L523" s="91"/>
    </row>
    <row r="524">
      <c r="G524" s="54"/>
      <c r="L524" s="91"/>
    </row>
    <row r="525">
      <c r="G525" s="54"/>
      <c r="L525" s="91"/>
    </row>
    <row r="526">
      <c r="G526" s="54"/>
      <c r="L526" s="91"/>
    </row>
    <row r="527">
      <c r="G527" s="54"/>
      <c r="L527" s="91"/>
    </row>
    <row r="528">
      <c r="G528" s="54"/>
      <c r="L528" s="91"/>
    </row>
    <row r="529">
      <c r="G529" s="54"/>
      <c r="L529" s="91"/>
    </row>
    <row r="530">
      <c r="G530" s="54"/>
      <c r="L530" s="91"/>
    </row>
    <row r="531">
      <c r="G531" s="54"/>
      <c r="L531" s="91"/>
    </row>
    <row r="532">
      <c r="G532" s="54"/>
      <c r="L532" s="91"/>
    </row>
    <row r="533">
      <c r="G533" s="54"/>
      <c r="L533" s="91"/>
    </row>
    <row r="534">
      <c r="G534" s="54"/>
      <c r="L534" s="91"/>
    </row>
    <row r="535">
      <c r="G535" s="54"/>
      <c r="L535" s="91"/>
    </row>
    <row r="536">
      <c r="G536" s="54"/>
      <c r="L536" s="91"/>
    </row>
    <row r="537">
      <c r="G537" s="54"/>
      <c r="L537" s="91"/>
    </row>
    <row r="538">
      <c r="G538" s="54"/>
      <c r="L538" s="91"/>
    </row>
    <row r="539">
      <c r="G539" s="54"/>
      <c r="L539" s="91"/>
    </row>
    <row r="540">
      <c r="G540" s="54"/>
      <c r="L540" s="91"/>
    </row>
    <row r="541">
      <c r="G541" s="54"/>
      <c r="L541" s="91"/>
    </row>
    <row r="542">
      <c r="G542" s="54"/>
      <c r="L542" s="91"/>
    </row>
    <row r="543">
      <c r="G543" s="54"/>
      <c r="L543" s="91"/>
    </row>
    <row r="544">
      <c r="G544" s="54"/>
      <c r="L544" s="91"/>
    </row>
    <row r="545">
      <c r="G545" s="54"/>
      <c r="L545" s="91"/>
    </row>
    <row r="546">
      <c r="G546" s="54"/>
      <c r="L546" s="91"/>
    </row>
    <row r="547">
      <c r="G547" s="54"/>
      <c r="L547" s="91"/>
    </row>
    <row r="548">
      <c r="G548" s="54"/>
      <c r="L548" s="91"/>
    </row>
    <row r="549">
      <c r="G549" s="54"/>
      <c r="L549" s="91"/>
    </row>
    <row r="550">
      <c r="G550" s="54"/>
      <c r="L550" s="91"/>
    </row>
    <row r="551">
      <c r="G551" s="54"/>
      <c r="L551" s="91"/>
    </row>
    <row r="552">
      <c r="G552" s="54"/>
      <c r="L552" s="91"/>
    </row>
    <row r="553">
      <c r="G553" s="54"/>
      <c r="L553" s="91"/>
    </row>
    <row r="554">
      <c r="G554" s="54"/>
      <c r="L554" s="91"/>
    </row>
    <row r="555">
      <c r="G555" s="54"/>
      <c r="L555" s="91"/>
    </row>
    <row r="556">
      <c r="G556" s="54"/>
      <c r="L556" s="91"/>
    </row>
    <row r="557">
      <c r="G557" s="54"/>
      <c r="L557" s="91"/>
    </row>
    <row r="558">
      <c r="G558" s="54"/>
      <c r="L558" s="91"/>
    </row>
    <row r="559">
      <c r="G559" s="54"/>
      <c r="L559" s="91"/>
    </row>
    <row r="560">
      <c r="G560" s="54"/>
      <c r="L560" s="91"/>
    </row>
    <row r="561">
      <c r="G561" s="54"/>
      <c r="L561" s="91"/>
    </row>
    <row r="562">
      <c r="G562" s="54"/>
      <c r="L562" s="91"/>
    </row>
    <row r="563">
      <c r="G563" s="54"/>
      <c r="L563" s="91"/>
    </row>
    <row r="564">
      <c r="G564" s="54"/>
      <c r="L564" s="91"/>
    </row>
    <row r="565">
      <c r="G565" s="54"/>
      <c r="L565" s="91"/>
    </row>
    <row r="566">
      <c r="G566" s="54"/>
      <c r="L566" s="91"/>
    </row>
    <row r="567">
      <c r="G567" s="54"/>
      <c r="L567" s="91"/>
    </row>
    <row r="568">
      <c r="G568" s="54"/>
      <c r="L568" s="91"/>
    </row>
    <row r="569">
      <c r="G569" s="54"/>
      <c r="L569" s="91"/>
    </row>
    <row r="570">
      <c r="G570" s="54"/>
      <c r="L570" s="91"/>
    </row>
    <row r="571">
      <c r="G571" s="54"/>
      <c r="L571" s="91"/>
    </row>
    <row r="572">
      <c r="G572" s="54"/>
      <c r="L572" s="91"/>
    </row>
    <row r="573">
      <c r="G573" s="54"/>
      <c r="L573" s="91"/>
    </row>
    <row r="574">
      <c r="G574" s="54"/>
      <c r="L574" s="91"/>
    </row>
    <row r="575">
      <c r="G575" s="54"/>
      <c r="L575" s="91"/>
    </row>
    <row r="576">
      <c r="G576" s="54"/>
      <c r="L576" s="91"/>
    </row>
    <row r="577">
      <c r="G577" s="54"/>
      <c r="L577" s="91"/>
    </row>
    <row r="578">
      <c r="G578" s="54"/>
      <c r="L578" s="91"/>
    </row>
    <row r="579">
      <c r="G579" s="54"/>
      <c r="L579" s="91"/>
    </row>
    <row r="580">
      <c r="G580" s="54"/>
      <c r="L580" s="91"/>
    </row>
    <row r="581">
      <c r="G581" s="54"/>
      <c r="L581" s="91"/>
    </row>
    <row r="582">
      <c r="G582" s="54"/>
      <c r="L582" s="91"/>
    </row>
    <row r="583">
      <c r="G583" s="54"/>
      <c r="L583" s="91"/>
    </row>
    <row r="584">
      <c r="G584" s="54"/>
      <c r="L584" s="91"/>
    </row>
    <row r="585">
      <c r="G585" s="54"/>
      <c r="L585" s="91"/>
    </row>
    <row r="586">
      <c r="G586" s="54"/>
      <c r="L586" s="91"/>
    </row>
    <row r="587">
      <c r="G587" s="54"/>
      <c r="L587" s="91"/>
    </row>
    <row r="588">
      <c r="G588" s="54"/>
      <c r="L588" s="91"/>
    </row>
    <row r="589">
      <c r="G589" s="54"/>
      <c r="L589" s="91"/>
    </row>
    <row r="590">
      <c r="G590" s="54"/>
      <c r="L590" s="91"/>
    </row>
    <row r="591">
      <c r="G591" s="54"/>
      <c r="L591" s="91"/>
    </row>
    <row r="592">
      <c r="G592" s="54"/>
      <c r="L592" s="91"/>
    </row>
    <row r="593">
      <c r="G593" s="54"/>
      <c r="L593" s="91"/>
    </row>
    <row r="594">
      <c r="G594" s="54"/>
      <c r="L594" s="91"/>
    </row>
    <row r="595">
      <c r="G595" s="54"/>
      <c r="L595" s="91"/>
    </row>
    <row r="596">
      <c r="G596" s="54"/>
      <c r="L596" s="91"/>
    </row>
    <row r="597">
      <c r="G597" s="54"/>
      <c r="L597" s="91"/>
    </row>
    <row r="598">
      <c r="G598" s="54"/>
      <c r="L598" s="91"/>
    </row>
    <row r="599">
      <c r="G599" s="54"/>
      <c r="L599" s="91"/>
    </row>
    <row r="600">
      <c r="G600" s="54"/>
      <c r="L600" s="91"/>
    </row>
    <row r="601">
      <c r="G601" s="54"/>
      <c r="L601" s="91"/>
    </row>
    <row r="602">
      <c r="G602" s="54"/>
      <c r="L602" s="91"/>
    </row>
    <row r="603">
      <c r="G603" s="54"/>
      <c r="L603" s="91"/>
    </row>
    <row r="604">
      <c r="G604" s="54"/>
      <c r="L604" s="91"/>
    </row>
    <row r="605">
      <c r="G605" s="54"/>
      <c r="L605" s="91"/>
    </row>
    <row r="606">
      <c r="G606" s="54"/>
      <c r="L606" s="91"/>
    </row>
    <row r="607">
      <c r="G607" s="54"/>
      <c r="L607" s="91"/>
    </row>
    <row r="608">
      <c r="G608" s="54"/>
      <c r="L608" s="91"/>
    </row>
    <row r="609">
      <c r="G609" s="54"/>
      <c r="L609" s="91"/>
    </row>
    <row r="610">
      <c r="G610" s="54"/>
      <c r="L610" s="91"/>
    </row>
    <row r="611">
      <c r="G611" s="54"/>
      <c r="L611" s="91"/>
    </row>
    <row r="612">
      <c r="G612" s="54"/>
      <c r="L612" s="91"/>
    </row>
    <row r="613">
      <c r="G613" s="54"/>
      <c r="L613" s="91"/>
    </row>
    <row r="614">
      <c r="G614" s="54"/>
      <c r="L614" s="91"/>
    </row>
    <row r="615">
      <c r="G615" s="54"/>
      <c r="L615" s="91"/>
    </row>
    <row r="616">
      <c r="G616" s="54"/>
      <c r="L616" s="91"/>
    </row>
    <row r="617">
      <c r="G617" s="54"/>
      <c r="L617" s="91"/>
    </row>
    <row r="618">
      <c r="G618" s="54"/>
      <c r="L618" s="91"/>
    </row>
    <row r="619">
      <c r="G619" s="54"/>
      <c r="L619" s="91"/>
    </row>
    <row r="620">
      <c r="G620" s="54"/>
      <c r="L620" s="91"/>
    </row>
    <row r="621">
      <c r="G621" s="54"/>
      <c r="L621" s="91"/>
    </row>
    <row r="622">
      <c r="G622" s="54"/>
      <c r="L622" s="91"/>
    </row>
    <row r="623">
      <c r="G623" s="54"/>
      <c r="L623" s="91"/>
    </row>
    <row r="624">
      <c r="G624" s="54"/>
      <c r="L624" s="91"/>
    </row>
    <row r="625">
      <c r="G625" s="54"/>
      <c r="L625" s="91"/>
    </row>
    <row r="626">
      <c r="G626" s="54"/>
      <c r="L626" s="91"/>
    </row>
    <row r="627">
      <c r="G627" s="54"/>
      <c r="L627" s="91"/>
    </row>
    <row r="628">
      <c r="G628" s="54"/>
      <c r="L628" s="91"/>
    </row>
    <row r="629">
      <c r="G629" s="54"/>
      <c r="L629" s="91"/>
    </row>
    <row r="630">
      <c r="G630" s="54"/>
      <c r="L630" s="91"/>
    </row>
    <row r="631">
      <c r="G631" s="54"/>
      <c r="L631" s="91"/>
    </row>
    <row r="632">
      <c r="G632" s="54"/>
      <c r="L632" s="91"/>
    </row>
    <row r="633">
      <c r="G633" s="54"/>
      <c r="L633" s="91"/>
    </row>
    <row r="634">
      <c r="G634" s="54"/>
      <c r="L634" s="91"/>
    </row>
    <row r="635">
      <c r="G635" s="54"/>
      <c r="L635" s="91"/>
    </row>
    <row r="636">
      <c r="G636" s="54"/>
      <c r="L636" s="91"/>
    </row>
    <row r="637">
      <c r="G637" s="54"/>
      <c r="L637" s="91"/>
    </row>
    <row r="638">
      <c r="G638" s="54"/>
      <c r="L638" s="91"/>
    </row>
    <row r="639">
      <c r="G639" s="54"/>
      <c r="L639" s="91"/>
    </row>
    <row r="640">
      <c r="G640" s="54"/>
      <c r="L640" s="91"/>
    </row>
    <row r="641">
      <c r="G641" s="54"/>
      <c r="L641" s="91"/>
    </row>
    <row r="642">
      <c r="G642" s="54"/>
      <c r="L642" s="91"/>
    </row>
    <row r="643">
      <c r="G643" s="54"/>
      <c r="L643" s="91"/>
    </row>
    <row r="644">
      <c r="G644" s="54"/>
      <c r="L644" s="91"/>
    </row>
    <row r="645">
      <c r="G645" s="54"/>
      <c r="L645" s="91"/>
    </row>
    <row r="646">
      <c r="G646" s="54"/>
      <c r="L646" s="91"/>
    </row>
    <row r="647">
      <c r="G647" s="54"/>
      <c r="L647" s="91"/>
    </row>
    <row r="648">
      <c r="G648" s="54"/>
      <c r="L648" s="91"/>
    </row>
    <row r="649">
      <c r="G649" s="54"/>
      <c r="L649" s="91"/>
    </row>
    <row r="650">
      <c r="G650" s="54"/>
      <c r="L650" s="91"/>
    </row>
    <row r="651">
      <c r="G651" s="54"/>
      <c r="L651" s="91"/>
    </row>
    <row r="652">
      <c r="G652" s="54"/>
      <c r="L652" s="91"/>
    </row>
    <row r="653">
      <c r="G653" s="54"/>
      <c r="L653" s="91"/>
    </row>
    <row r="654">
      <c r="G654" s="54"/>
      <c r="L654" s="91"/>
    </row>
    <row r="655">
      <c r="G655" s="54"/>
      <c r="L655" s="91"/>
    </row>
    <row r="656">
      <c r="G656" s="54"/>
      <c r="L656" s="91"/>
    </row>
    <row r="657">
      <c r="G657" s="54"/>
      <c r="L657" s="91"/>
    </row>
    <row r="658">
      <c r="G658" s="54"/>
      <c r="L658" s="91"/>
    </row>
    <row r="659">
      <c r="G659" s="54"/>
      <c r="L659" s="91"/>
    </row>
    <row r="660">
      <c r="G660" s="54"/>
      <c r="L660" s="91"/>
    </row>
    <row r="661">
      <c r="G661" s="54"/>
      <c r="L661" s="91"/>
    </row>
    <row r="662">
      <c r="G662" s="54"/>
      <c r="L662" s="91"/>
    </row>
    <row r="663">
      <c r="G663" s="54"/>
      <c r="L663" s="91"/>
    </row>
    <row r="664">
      <c r="G664" s="54"/>
      <c r="L664" s="91"/>
    </row>
    <row r="665">
      <c r="G665" s="54"/>
      <c r="L665" s="91"/>
    </row>
    <row r="666">
      <c r="G666" s="54"/>
      <c r="L666" s="91"/>
    </row>
    <row r="667">
      <c r="G667" s="54"/>
      <c r="L667" s="91"/>
    </row>
    <row r="668">
      <c r="G668" s="54"/>
      <c r="L668" s="91"/>
    </row>
    <row r="669">
      <c r="G669" s="54"/>
      <c r="L669" s="91"/>
    </row>
    <row r="670">
      <c r="G670" s="54"/>
      <c r="L670" s="91"/>
    </row>
    <row r="671">
      <c r="G671" s="54"/>
      <c r="L671" s="91"/>
    </row>
    <row r="672">
      <c r="G672" s="54"/>
      <c r="L672" s="91"/>
    </row>
    <row r="673">
      <c r="G673" s="54"/>
      <c r="L673" s="91"/>
    </row>
    <row r="674">
      <c r="G674" s="54"/>
      <c r="L674" s="91"/>
    </row>
    <row r="675">
      <c r="G675" s="54"/>
      <c r="L675" s="91"/>
    </row>
    <row r="676">
      <c r="G676" s="54"/>
      <c r="L676" s="91"/>
    </row>
    <row r="677">
      <c r="G677" s="54"/>
      <c r="L677" s="91"/>
    </row>
    <row r="678">
      <c r="G678" s="54"/>
      <c r="L678" s="91"/>
    </row>
    <row r="679">
      <c r="G679" s="54"/>
      <c r="L679" s="91"/>
    </row>
    <row r="680">
      <c r="G680" s="54"/>
      <c r="L680" s="91"/>
    </row>
    <row r="681">
      <c r="G681" s="54"/>
      <c r="L681" s="91"/>
    </row>
    <row r="682">
      <c r="G682" s="54"/>
      <c r="L682" s="91"/>
    </row>
    <row r="683">
      <c r="G683" s="54"/>
      <c r="L683" s="91"/>
    </row>
    <row r="684">
      <c r="G684" s="54"/>
      <c r="L684" s="91"/>
    </row>
    <row r="685">
      <c r="G685" s="54"/>
      <c r="L685" s="91"/>
    </row>
    <row r="686">
      <c r="G686" s="54"/>
      <c r="L686" s="91"/>
    </row>
    <row r="687">
      <c r="G687" s="54"/>
      <c r="L687" s="91"/>
    </row>
    <row r="688">
      <c r="G688" s="54"/>
      <c r="L688" s="91"/>
    </row>
    <row r="689">
      <c r="G689" s="54"/>
      <c r="L689" s="91"/>
    </row>
    <row r="690">
      <c r="G690" s="54"/>
      <c r="L690" s="91"/>
    </row>
    <row r="691">
      <c r="G691" s="54"/>
      <c r="L691" s="91"/>
    </row>
    <row r="692">
      <c r="G692" s="54"/>
      <c r="L692" s="91"/>
    </row>
    <row r="693">
      <c r="G693" s="54"/>
      <c r="L693" s="91"/>
    </row>
    <row r="694">
      <c r="G694" s="54"/>
      <c r="L694" s="91"/>
    </row>
    <row r="695">
      <c r="G695" s="54"/>
      <c r="L695" s="91"/>
    </row>
    <row r="696">
      <c r="G696" s="54"/>
      <c r="L696" s="91"/>
    </row>
    <row r="697">
      <c r="G697" s="54"/>
      <c r="L697" s="91"/>
    </row>
    <row r="698">
      <c r="G698" s="54"/>
      <c r="L698" s="91"/>
    </row>
    <row r="699">
      <c r="G699" s="54"/>
      <c r="L699" s="91"/>
    </row>
    <row r="700">
      <c r="G700" s="54"/>
      <c r="L700" s="91"/>
    </row>
    <row r="701">
      <c r="G701" s="54"/>
      <c r="L701" s="91"/>
    </row>
    <row r="702">
      <c r="G702" s="54"/>
      <c r="L702" s="91"/>
    </row>
    <row r="703">
      <c r="G703" s="54"/>
      <c r="L703" s="91"/>
    </row>
    <row r="704">
      <c r="G704" s="54"/>
      <c r="L704" s="91"/>
    </row>
    <row r="705">
      <c r="G705" s="54"/>
      <c r="L705" s="91"/>
    </row>
    <row r="706">
      <c r="G706" s="54"/>
      <c r="L706" s="91"/>
    </row>
    <row r="707">
      <c r="G707" s="54"/>
      <c r="L707" s="91"/>
    </row>
    <row r="708">
      <c r="G708" s="54"/>
      <c r="L708" s="91"/>
    </row>
    <row r="709">
      <c r="G709" s="54"/>
      <c r="L709" s="91"/>
    </row>
    <row r="710">
      <c r="G710" s="54"/>
      <c r="L710" s="91"/>
    </row>
    <row r="711">
      <c r="G711" s="54"/>
      <c r="L711" s="91"/>
    </row>
    <row r="712">
      <c r="G712" s="54"/>
      <c r="L712" s="91"/>
    </row>
    <row r="713">
      <c r="G713" s="54"/>
      <c r="L713" s="91"/>
    </row>
    <row r="714">
      <c r="G714" s="54"/>
      <c r="L714" s="91"/>
    </row>
    <row r="715">
      <c r="G715" s="54"/>
      <c r="L715" s="91"/>
    </row>
    <row r="716">
      <c r="G716" s="54"/>
      <c r="L716" s="91"/>
    </row>
    <row r="717">
      <c r="G717" s="54"/>
      <c r="L717" s="91"/>
    </row>
    <row r="718">
      <c r="G718" s="54"/>
      <c r="L718" s="91"/>
    </row>
    <row r="719">
      <c r="G719" s="54"/>
      <c r="L719" s="91"/>
    </row>
    <row r="720">
      <c r="G720" s="54"/>
      <c r="L720" s="91"/>
    </row>
    <row r="721">
      <c r="G721" s="54"/>
      <c r="L721" s="91"/>
    </row>
    <row r="722">
      <c r="G722" s="54"/>
      <c r="L722" s="91"/>
    </row>
    <row r="723">
      <c r="G723" s="54"/>
      <c r="L723" s="91"/>
    </row>
    <row r="724">
      <c r="G724" s="54"/>
      <c r="L724" s="91"/>
    </row>
    <row r="725">
      <c r="G725" s="54"/>
      <c r="L725" s="91"/>
    </row>
    <row r="726">
      <c r="G726" s="54"/>
      <c r="L726" s="91"/>
    </row>
    <row r="727">
      <c r="G727" s="54"/>
      <c r="L727" s="91"/>
    </row>
    <row r="728">
      <c r="G728" s="54"/>
      <c r="L728" s="91"/>
    </row>
    <row r="729">
      <c r="G729" s="54"/>
      <c r="L729" s="91"/>
    </row>
    <row r="730">
      <c r="G730" s="54"/>
      <c r="L730" s="91"/>
    </row>
    <row r="731">
      <c r="G731" s="54"/>
      <c r="L731" s="91"/>
    </row>
    <row r="732">
      <c r="G732" s="54"/>
      <c r="L732" s="91"/>
    </row>
    <row r="733">
      <c r="G733" s="54"/>
      <c r="L733" s="91"/>
    </row>
    <row r="734">
      <c r="G734" s="54"/>
      <c r="L734" s="91"/>
    </row>
    <row r="735">
      <c r="G735" s="54"/>
      <c r="L735" s="91"/>
    </row>
    <row r="736">
      <c r="G736" s="54"/>
      <c r="L736" s="91"/>
    </row>
    <row r="737">
      <c r="G737" s="54"/>
      <c r="L737" s="91"/>
    </row>
    <row r="738">
      <c r="G738" s="54"/>
      <c r="L738" s="91"/>
    </row>
    <row r="739">
      <c r="G739" s="54"/>
      <c r="L739" s="91"/>
    </row>
    <row r="740">
      <c r="G740" s="54"/>
      <c r="L740" s="91"/>
    </row>
    <row r="741">
      <c r="G741" s="54"/>
      <c r="L741" s="91"/>
    </row>
    <row r="742">
      <c r="G742" s="54"/>
      <c r="L742" s="91"/>
    </row>
    <row r="743">
      <c r="G743" s="54"/>
      <c r="L743" s="91"/>
    </row>
    <row r="744">
      <c r="G744" s="54"/>
      <c r="L744" s="91"/>
    </row>
    <row r="745">
      <c r="G745" s="54"/>
      <c r="L745" s="91"/>
    </row>
    <row r="746">
      <c r="G746" s="54"/>
      <c r="L746" s="91"/>
    </row>
    <row r="747">
      <c r="G747" s="54"/>
      <c r="L747" s="91"/>
    </row>
    <row r="748">
      <c r="G748" s="54"/>
      <c r="L748" s="91"/>
    </row>
    <row r="749">
      <c r="G749" s="54"/>
      <c r="L749" s="91"/>
    </row>
    <row r="750">
      <c r="G750" s="54"/>
      <c r="L750" s="91"/>
    </row>
    <row r="751">
      <c r="G751" s="54"/>
      <c r="L751" s="91"/>
    </row>
    <row r="752">
      <c r="G752" s="54"/>
      <c r="L752" s="91"/>
    </row>
    <row r="753">
      <c r="G753" s="54"/>
      <c r="L753" s="91"/>
    </row>
    <row r="754">
      <c r="G754" s="54"/>
      <c r="L754" s="91"/>
    </row>
    <row r="755">
      <c r="G755" s="54"/>
      <c r="L755" s="91"/>
    </row>
    <row r="756">
      <c r="G756" s="54"/>
      <c r="L756" s="91"/>
    </row>
    <row r="757">
      <c r="G757" s="54"/>
      <c r="L757" s="91"/>
    </row>
    <row r="758">
      <c r="G758" s="54"/>
      <c r="L758" s="91"/>
    </row>
    <row r="759">
      <c r="G759" s="54"/>
      <c r="L759" s="91"/>
    </row>
    <row r="760">
      <c r="G760" s="54"/>
      <c r="L760" s="91"/>
    </row>
    <row r="761">
      <c r="G761" s="54"/>
      <c r="L761" s="91"/>
    </row>
    <row r="762">
      <c r="G762" s="54"/>
      <c r="L762" s="91"/>
    </row>
    <row r="763">
      <c r="G763" s="54"/>
      <c r="L763" s="91"/>
    </row>
    <row r="764">
      <c r="G764" s="54"/>
      <c r="L764" s="91"/>
    </row>
    <row r="765">
      <c r="G765" s="54"/>
      <c r="L765" s="91"/>
    </row>
    <row r="766">
      <c r="G766" s="54"/>
      <c r="L766" s="91"/>
    </row>
    <row r="767">
      <c r="G767" s="54"/>
      <c r="L767" s="91"/>
    </row>
    <row r="768">
      <c r="G768" s="54"/>
      <c r="L768" s="91"/>
    </row>
    <row r="769">
      <c r="G769" s="54"/>
      <c r="L769" s="91"/>
    </row>
    <row r="770">
      <c r="G770" s="54"/>
      <c r="L770" s="91"/>
    </row>
    <row r="771">
      <c r="G771" s="54"/>
      <c r="L771" s="91"/>
    </row>
    <row r="772">
      <c r="G772" s="54"/>
      <c r="L772" s="91"/>
    </row>
    <row r="773">
      <c r="G773" s="54"/>
      <c r="L773" s="91"/>
    </row>
    <row r="774">
      <c r="G774" s="54"/>
      <c r="L774" s="91"/>
    </row>
    <row r="775">
      <c r="G775" s="54"/>
      <c r="L775" s="91"/>
    </row>
    <row r="776">
      <c r="G776" s="54"/>
      <c r="L776" s="91"/>
    </row>
    <row r="777">
      <c r="G777" s="54"/>
      <c r="L777" s="91"/>
    </row>
    <row r="778">
      <c r="G778" s="54"/>
      <c r="L778" s="91"/>
    </row>
    <row r="779">
      <c r="G779" s="54"/>
      <c r="L779" s="91"/>
    </row>
    <row r="780">
      <c r="G780" s="54"/>
      <c r="L780" s="91"/>
    </row>
    <row r="781">
      <c r="G781" s="54"/>
      <c r="L781" s="91"/>
    </row>
    <row r="782">
      <c r="G782" s="54"/>
      <c r="L782" s="91"/>
    </row>
    <row r="783">
      <c r="G783" s="54"/>
      <c r="L783" s="91"/>
    </row>
    <row r="784">
      <c r="G784" s="54"/>
      <c r="L784" s="91"/>
    </row>
    <row r="785">
      <c r="G785" s="54"/>
      <c r="L785" s="91"/>
    </row>
    <row r="786">
      <c r="G786" s="54"/>
      <c r="L786" s="91"/>
    </row>
    <row r="787">
      <c r="G787" s="54"/>
      <c r="L787" s="91"/>
    </row>
    <row r="788">
      <c r="G788" s="54"/>
      <c r="L788" s="91"/>
    </row>
    <row r="789">
      <c r="G789" s="54"/>
      <c r="L789" s="91"/>
    </row>
    <row r="790">
      <c r="G790" s="54"/>
      <c r="L790" s="91"/>
    </row>
    <row r="791">
      <c r="G791" s="54"/>
      <c r="L791" s="91"/>
    </row>
    <row r="792">
      <c r="G792" s="54"/>
      <c r="L792" s="91"/>
    </row>
    <row r="793">
      <c r="G793" s="54"/>
      <c r="L793" s="91"/>
    </row>
    <row r="794">
      <c r="G794" s="54"/>
      <c r="L794" s="91"/>
    </row>
    <row r="795">
      <c r="G795" s="54"/>
      <c r="L795" s="91"/>
    </row>
    <row r="796">
      <c r="G796" s="54"/>
      <c r="L796" s="91"/>
    </row>
    <row r="797">
      <c r="G797" s="54"/>
      <c r="L797" s="91"/>
    </row>
    <row r="798">
      <c r="G798" s="54"/>
      <c r="L798" s="91"/>
    </row>
    <row r="799">
      <c r="G799" s="54"/>
      <c r="L799" s="91"/>
    </row>
    <row r="800">
      <c r="G800" s="54"/>
      <c r="L800" s="91"/>
    </row>
    <row r="801">
      <c r="G801" s="54"/>
      <c r="L801" s="91"/>
    </row>
    <row r="802">
      <c r="L802" s="91"/>
    </row>
    <row r="803">
      <c r="L803" s="91"/>
    </row>
    <row r="804">
      <c r="L804" s="91"/>
    </row>
    <row r="805">
      <c r="L805" s="91"/>
    </row>
    <row r="806">
      <c r="L806" s="91"/>
    </row>
    <row r="807">
      <c r="L807" s="91"/>
    </row>
    <row r="808">
      <c r="L808" s="91"/>
    </row>
    <row r="809">
      <c r="L809" s="91"/>
    </row>
    <row r="810">
      <c r="L810" s="91"/>
    </row>
    <row r="811">
      <c r="L811" s="91"/>
    </row>
    <row r="812">
      <c r="L812" s="91"/>
    </row>
    <row r="813">
      <c r="L813" s="91"/>
    </row>
    <row r="814">
      <c r="L814" s="91"/>
    </row>
    <row r="815">
      <c r="L815" s="91"/>
    </row>
    <row r="816">
      <c r="L816" s="91"/>
    </row>
    <row r="817">
      <c r="L817" s="91"/>
    </row>
    <row r="818">
      <c r="L818" s="91"/>
    </row>
    <row r="819">
      <c r="L819" s="91"/>
    </row>
    <row r="820">
      <c r="L820" s="91"/>
    </row>
    <row r="821">
      <c r="L821" s="91"/>
    </row>
    <row r="822">
      <c r="L822" s="91"/>
    </row>
    <row r="823">
      <c r="L823" s="91"/>
    </row>
    <row r="824">
      <c r="L824" s="91"/>
    </row>
    <row r="825">
      <c r="L825" s="91"/>
    </row>
    <row r="826">
      <c r="L826" s="91"/>
    </row>
    <row r="827">
      <c r="L827" s="91"/>
    </row>
    <row r="828">
      <c r="L828" s="91"/>
    </row>
    <row r="829">
      <c r="L829" s="91"/>
    </row>
    <row r="830">
      <c r="L830" s="91"/>
    </row>
    <row r="831">
      <c r="L831" s="91"/>
    </row>
    <row r="832">
      <c r="L832" s="91"/>
    </row>
    <row r="833">
      <c r="L833" s="91"/>
    </row>
  </sheetData>
  <dataValidations>
    <dataValidation type="list" allowBlank="1" sqref="K2:K181">
      <formula1>"Not Specified,Patented,Registration Filed"</formula1>
    </dataValidation>
    <dataValidation type="list" allowBlank="1" sqref="D2:D181">
      <formula1>"Agriculture ,Biotechnology &amp; Life Sciences,Food Technology,Advanced Materials &amp; Chemicals,MedTech &amp; Health Care,Robotics, Automation &amp; Drones,Infrastructure, Construction &amp; Smart Cities,Digital Technologies, AI &amp; Software,Consumer &amp; Lifestyle Products,Ene"&amp;"rgy, Climate &amp; Sustainability,Water, Environment &amp; Waste Management"</formula1>
    </dataValidation>
    <dataValidation type="list" allowBlank="1" sqref="C2:C181">
      <formula1>"ICAR-CPCRI Kasaragod,ICAR-Central Tuber Crops Research Institute (CTCRI) Thiruvananthapuram,CSIR-National Institute for Interdisciplinary Science and Technology (NIIST),CSIR-National Institute for Interdisciplinary Science and Technology (NIIST),Kerala Un"&amp;"iversity of Fisheries and Ocean Studies (KUFOS),Kerala Agricultural University,ICAR-Indian Institute of Spices Research (IISR),Centre for Development of Advanced Computing (C-DAC),Sree Chitra Tirunal Institute for Medical Sciences and Technology (SCTIMST)"&amp;",C-MET Kerala,ICAR-Sugarcane Breeding Institute Research Centre, Kannur,National Coir Research &amp; Management Institute (NCRMI)"</formula1>
    </dataValidation>
    <dataValidation type="list" allowBlank="1" sqref="I2:I181">
      <formula1>"High,Medium,Startup Potential"</formula1>
    </dataValidation>
    <dataValidation type="custom" allowBlank="1" showDropDown="1" sqref="O2:O181">
      <formula1>AND(ISNUMBER(O2),(NOT(OR(NOT(ISERROR(DATEVALUE(O2))), AND(ISNUMBER(O2), LEFT(CELL("format", O2))="D")))))</formula1>
    </dataValidation>
    <dataValidation allowBlank="1" showDropDown="1" sqref="E2:E181 L2:M181"/>
    <dataValidation type="list" allowBlank="1" sqref="J2:J181">
      <formula1>"TRL 7-9,TRL 5-7,TRL 6-8,TRL 8-9,TRL,Not Specified,TRL 9"</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s>
  <drawing r:id="rId33"/>
  <tableParts count="1">
    <tablePart r:id="rId3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37.63"/>
    <col customWidth="1" min="3" max="3" width="34.25"/>
    <col customWidth="1" min="4" max="4" width="33.25"/>
    <col customWidth="1" min="5" max="5" width="37.63"/>
    <col customWidth="1" min="6" max="6" width="24.25"/>
    <col customWidth="1" min="7" max="8" width="37.63"/>
    <col customWidth="1" min="9" max="9" width="22.38"/>
    <col customWidth="1" min="10" max="10" width="26.75"/>
    <col customWidth="1" min="11" max="11" width="34.75"/>
    <col customWidth="1" min="12" max="12" width="17.0"/>
    <col customWidth="1" min="13" max="13" width="19.75"/>
    <col customWidth="1" min="14" max="14" width="28.25"/>
    <col customWidth="1" min="15" max="15" width="14.13"/>
    <col customWidth="1" min="16" max="16" width="37.63"/>
    <col customWidth="1" min="17" max="17" width="23.63"/>
    <col customWidth="1" min="18" max="18" width="27.63"/>
    <col customWidth="1" min="19" max="19" width="27.75"/>
    <col customWidth="1" min="20" max="20" width="37.63"/>
  </cols>
  <sheetData>
    <row r="1" ht="58.5" customHeight="1">
      <c r="A1" s="92" t="s">
        <v>0</v>
      </c>
      <c r="B1" s="92" t="s">
        <v>1</v>
      </c>
      <c r="C1" s="92" t="s">
        <v>2</v>
      </c>
      <c r="D1" s="92" t="s">
        <v>3</v>
      </c>
      <c r="E1" s="92" t="s">
        <v>4</v>
      </c>
      <c r="F1" s="92" t="s">
        <v>5</v>
      </c>
      <c r="G1" s="93" t="s">
        <v>6</v>
      </c>
      <c r="H1" s="93" t="s">
        <v>8</v>
      </c>
      <c r="I1" s="93" t="s">
        <v>9</v>
      </c>
      <c r="J1" s="93" t="s">
        <v>10</v>
      </c>
      <c r="K1" s="94" t="s">
        <v>2009</v>
      </c>
      <c r="L1" s="93" t="s">
        <v>11</v>
      </c>
      <c r="M1" s="93" t="s">
        <v>12</v>
      </c>
      <c r="N1" s="93" t="s">
        <v>13</v>
      </c>
      <c r="O1" s="93" t="s">
        <v>14</v>
      </c>
      <c r="P1" s="93" t="s">
        <v>15</v>
      </c>
      <c r="Q1" s="95" t="s">
        <v>16</v>
      </c>
      <c r="R1" s="95" t="s">
        <v>2010</v>
      </c>
      <c r="S1" s="96" t="s">
        <v>2011</v>
      </c>
      <c r="T1" s="97" t="s">
        <v>2012</v>
      </c>
    </row>
    <row r="2" ht="22.5" customHeight="1">
      <c r="A2" s="7" t="s">
        <v>2184</v>
      </c>
      <c r="B2" s="7" t="s">
        <v>1315</v>
      </c>
      <c r="C2" s="9" t="s">
        <v>2185</v>
      </c>
      <c r="D2" s="9" t="s">
        <v>183</v>
      </c>
      <c r="E2" s="7" t="s">
        <v>1316</v>
      </c>
      <c r="F2" s="7" t="s">
        <v>1317</v>
      </c>
      <c r="G2" s="7" t="s">
        <v>1318</v>
      </c>
      <c r="H2" s="9" t="s">
        <v>2186</v>
      </c>
      <c r="I2" s="9" t="s">
        <v>26</v>
      </c>
      <c r="J2" s="9" t="s">
        <v>26</v>
      </c>
      <c r="K2" s="7" t="s">
        <v>26</v>
      </c>
      <c r="L2" s="7" t="s">
        <v>26</v>
      </c>
      <c r="M2" s="7" t="s">
        <v>26</v>
      </c>
      <c r="N2" s="7" t="s">
        <v>1320</v>
      </c>
      <c r="O2" s="7">
        <v>1.0</v>
      </c>
      <c r="P2" s="7" t="s">
        <v>1321</v>
      </c>
      <c r="Q2" s="7" t="s">
        <v>26</v>
      </c>
      <c r="R2" s="13" t="s">
        <v>2187</v>
      </c>
      <c r="S2" s="7" t="s">
        <v>26</v>
      </c>
      <c r="T2" s="7" t="s">
        <v>2188</v>
      </c>
    </row>
    <row r="3" ht="22.5" customHeight="1">
      <c r="A3" s="7" t="s">
        <v>2189</v>
      </c>
      <c r="B3" s="7" t="s">
        <v>1323</v>
      </c>
      <c r="C3" s="9" t="s">
        <v>2185</v>
      </c>
      <c r="D3" s="9" t="s">
        <v>183</v>
      </c>
      <c r="E3" s="7" t="s">
        <v>32</v>
      </c>
      <c r="F3" s="7" t="s">
        <v>1324</v>
      </c>
      <c r="G3" s="7" t="s">
        <v>1325</v>
      </c>
      <c r="H3" s="9" t="s">
        <v>2190</v>
      </c>
      <c r="I3" s="9" t="s">
        <v>26</v>
      </c>
      <c r="J3" s="9" t="s">
        <v>26</v>
      </c>
      <c r="K3" s="7" t="s">
        <v>26</v>
      </c>
      <c r="L3" s="7" t="s">
        <v>26</v>
      </c>
      <c r="M3" s="7" t="s">
        <v>26</v>
      </c>
      <c r="N3" s="7" t="s">
        <v>1320</v>
      </c>
      <c r="O3" s="7">
        <v>2.0</v>
      </c>
      <c r="P3" s="7" t="s">
        <v>1327</v>
      </c>
      <c r="Q3" s="7" t="s">
        <v>26</v>
      </c>
      <c r="R3" s="13" t="s">
        <v>2187</v>
      </c>
      <c r="S3" s="7" t="s">
        <v>26</v>
      </c>
      <c r="T3" s="7" t="s">
        <v>2191</v>
      </c>
    </row>
    <row r="4" ht="22.5" customHeight="1">
      <c r="A4" s="7" t="s">
        <v>2192</v>
      </c>
      <c r="B4" s="7" t="s">
        <v>1329</v>
      </c>
      <c r="C4" s="9" t="s">
        <v>2185</v>
      </c>
      <c r="D4" s="9" t="s">
        <v>183</v>
      </c>
      <c r="E4" s="7" t="s">
        <v>32</v>
      </c>
      <c r="F4" s="7" t="s">
        <v>1330</v>
      </c>
      <c r="G4" s="7" t="s">
        <v>1331</v>
      </c>
      <c r="H4" s="9" t="s">
        <v>2193</v>
      </c>
      <c r="I4" s="9" t="s">
        <v>26</v>
      </c>
      <c r="J4" s="9" t="s">
        <v>26</v>
      </c>
      <c r="K4" s="7" t="s">
        <v>26</v>
      </c>
      <c r="L4" s="7" t="s">
        <v>26</v>
      </c>
      <c r="M4" s="7" t="s">
        <v>26</v>
      </c>
      <c r="N4" s="7" t="s">
        <v>1320</v>
      </c>
      <c r="O4" s="7">
        <v>2.0</v>
      </c>
      <c r="P4" s="7" t="s">
        <v>1333</v>
      </c>
      <c r="Q4" s="7" t="s">
        <v>26</v>
      </c>
      <c r="R4" s="13" t="s">
        <v>2187</v>
      </c>
      <c r="S4" s="7" t="s">
        <v>26</v>
      </c>
      <c r="T4" s="7" t="s">
        <v>2194</v>
      </c>
    </row>
    <row r="5" ht="22.5" customHeight="1">
      <c r="A5" s="7" t="s">
        <v>2195</v>
      </c>
      <c r="B5" s="7" t="s">
        <v>1335</v>
      </c>
      <c r="C5" s="9" t="s">
        <v>2185</v>
      </c>
      <c r="D5" s="9" t="s">
        <v>183</v>
      </c>
      <c r="E5" s="7" t="s">
        <v>32</v>
      </c>
      <c r="F5" s="7" t="s">
        <v>1336</v>
      </c>
      <c r="G5" s="7" t="s">
        <v>1337</v>
      </c>
      <c r="H5" s="9" t="s">
        <v>2196</v>
      </c>
      <c r="I5" s="9" t="s">
        <v>26</v>
      </c>
      <c r="J5" s="9" t="s">
        <v>26</v>
      </c>
      <c r="K5" s="7" t="s">
        <v>26</v>
      </c>
      <c r="L5" s="7" t="s">
        <v>26</v>
      </c>
      <c r="M5" s="7" t="s">
        <v>26</v>
      </c>
      <c r="N5" s="7" t="s">
        <v>1320</v>
      </c>
      <c r="O5" s="7">
        <v>2.0</v>
      </c>
      <c r="P5" s="7" t="s">
        <v>1339</v>
      </c>
      <c r="Q5" s="7" t="s">
        <v>26</v>
      </c>
      <c r="R5" s="13" t="s">
        <v>2187</v>
      </c>
      <c r="S5" s="7" t="s">
        <v>26</v>
      </c>
      <c r="T5" s="7" t="s">
        <v>2197</v>
      </c>
    </row>
    <row r="6" ht="22.5" customHeight="1">
      <c r="A6" s="7" t="s">
        <v>2198</v>
      </c>
      <c r="B6" s="7" t="s">
        <v>1341</v>
      </c>
      <c r="C6" s="9" t="s">
        <v>2185</v>
      </c>
      <c r="D6" s="9" t="s">
        <v>183</v>
      </c>
      <c r="E6" s="7" t="s">
        <v>32</v>
      </c>
      <c r="F6" s="7" t="s">
        <v>1342</v>
      </c>
      <c r="G6" s="7" t="s">
        <v>1343</v>
      </c>
      <c r="H6" s="9" t="s">
        <v>2199</v>
      </c>
      <c r="I6" s="9" t="s">
        <v>26</v>
      </c>
      <c r="J6" s="9" t="s">
        <v>26</v>
      </c>
      <c r="K6" s="7" t="s">
        <v>26</v>
      </c>
      <c r="L6" s="7" t="s">
        <v>26</v>
      </c>
      <c r="M6" s="7" t="s">
        <v>26</v>
      </c>
      <c r="N6" s="7" t="s">
        <v>1320</v>
      </c>
      <c r="O6" s="7">
        <v>2.0</v>
      </c>
      <c r="P6" s="7" t="s">
        <v>1345</v>
      </c>
      <c r="Q6" s="7" t="s">
        <v>26</v>
      </c>
      <c r="R6" s="13" t="s">
        <v>2187</v>
      </c>
      <c r="S6" s="7" t="s">
        <v>26</v>
      </c>
      <c r="T6" s="7" t="s">
        <v>2200</v>
      </c>
    </row>
    <row r="7" ht="22.5" customHeight="1">
      <c r="A7" s="7" t="s">
        <v>2201</v>
      </c>
      <c r="B7" s="7" t="s">
        <v>1347</v>
      </c>
      <c r="C7" s="9" t="s">
        <v>2185</v>
      </c>
      <c r="D7" s="9" t="s">
        <v>75</v>
      </c>
      <c r="E7" s="7" t="s">
        <v>1348</v>
      </c>
      <c r="F7" s="7" t="s">
        <v>1349</v>
      </c>
      <c r="G7" s="7" t="s">
        <v>1350</v>
      </c>
      <c r="H7" s="9" t="s">
        <v>2202</v>
      </c>
      <c r="I7" s="9" t="s">
        <v>26</v>
      </c>
      <c r="J7" s="9" t="s">
        <v>26</v>
      </c>
      <c r="K7" s="7" t="s">
        <v>26</v>
      </c>
      <c r="L7" s="7" t="s">
        <v>26</v>
      </c>
      <c r="M7" s="7" t="s">
        <v>26</v>
      </c>
      <c r="N7" s="7" t="s">
        <v>1320</v>
      </c>
      <c r="O7" s="7">
        <v>2.0</v>
      </c>
      <c r="P7" s="7" t="s">
        <v>1352</v>
      </c>
      <c r="Q7" s="7" t="s">
        <v>26</v>
      </c>
      <c r="R7" s="13" t="s">
        <v>2187</v>
      </c>
      <c r="S7" s="7" t="s">
        <v>26</v>
      </c>
      <c r="T7" s="7" t="s">
        <v>2203</v>
      </c>
    </row>
    <row r="8" ht="22.5" customHeight="1">
      <c r="A8" s="7" t="s">
        <v>2204</v>
      </c>
      <c r="B8" s="7" t="s">
        <v>1354</v>
      </c>
      <c r="C8" s="9" t="s">
        <v>2185</v>
      </c>
      <c r="D8" s="9" t="s">
        <v>183</v>
      </c>
      <c r="E8" s="7" t="s">
        <v>32</v>
      </c>
      <c r="F8" s="7" t="s">
        <v>1342</v>
      </c>
      <c r="G8" s="7" t="s">
        <v>1355</v>
      </c>
      <c r="H8" s="9" t="s">
        <v>2205</v>
      </c>
      <c r="I8" s="9" t="s">
        <v>26</v>
      </c>
      <c r="J8" s="9" t="s">
        <v>26</v>
      </c>
      <c r="K8" s="7" t="s">
        <v>26</v>
      </c>
      <c r="L8" s="7" t="s">
        <v>26</v>
      </c>
      <c r="M8" s="7" t="s">
        <v>26</v>
      </c>
      <c r="N8" s="7" t="s">
        <v>1320</v>
      </c>
      <c r="O8" s="7">
        <v>2.0</v>
      </c>
      <c r="P8" s="7" t="s">
        <v>1357</v>
      </c>
      <c r="Q8" s="7" t="s">
        <v>26</v>
      </c>
      <c r="R8" s="13" t="s">
        <v>2187</v>
      </c>
      <c r="S8" s="7" t="s">
        <v>26</v>
      </c>
      <c r="T8" s="7" t="s">
        <v>2200</v>
      </c>
    </row>
    <row r="9" ht="22.5" customHeight="1">
      <c r="A9" s="7" t="s">
        <v>2206</v>
      </c>
      <c r="B9" s="7" t="s">
        <v>1359</v>
      </c>
      <c r="C9" s="9" t="s">
        <v>2185</v>
      </c>
      <c r="D9" s="9" t="s">
        <v>183</v>
      </c>
      <c r="E9" s="7" t="s">
        <v>1294</v>
      </c>
      <c r="F9" s="7" t="s">
        <v>1360</v>
      </c>
      <c r="G9" s="7" t="s">
        <v>1361</v>
      </c>
      <c r="H9" s="9" t="s">
        <v>2207</v>
      </c>
      <c r="I9" s="9" t="s">
        <v>26</v>
      </c>
      <c r="J9" s="9" t="s">
        <v>26</v>
      </c>
      <c r="K9" s="7" t="s">
        <v>26</v>
      </c>
      <c r="L9" s="7" t="s">
        <v>26</v>
      </c>
      <c r="M9" s="7" t="s">
        <v>26</v>
      </c>
      <c r="N9" s="7" t="s">
        <v>1320</v>
      </c>
      <c r="O9" s="7">
        <v>2.0</v>
      </c>
      <c r="P9" s="7" t="s">
        <v>1363</v>
      </c>
      <c r="Q9" s="7" t="s">
        <v>26</v>
      </c>
      <c r="R9" s="13" t="s">
        <v>2187</v>
      </c>
      <c r="S9" s="7" t="s">
        <v>26</v>
      </c>
      <c r="T9" s="7" t="s">
        <v>2208</v>
      </c>
    </row>
    <row r="10" ht="22.5" customHeight="1">
      <c r="A10" s="7" t="s">
        <v>2209</v>
      </c>
      <c r="B10" s="7" t="s">
        <v>1365</v>
      </c>
      <c r="C10" s="9" t="s">
        <v>2185</v>
      </c>
      <c r="D10" s="9" t="s">
        <v>183</v>
      </c>
      <c r="E10" s="7" t="s">
        <v>1128</v>
      </c>
      <c r="F10" s="7" t="s">
        <v>1366</v>
      </c>
      <c r="G10" s="7" t="s">
        <v>1367</v>
      </c>
      <c r="H10" s="9" t="s">
        <v>2210</v>
      </c>
      <c r="I10" s="9" t="s">
        <v>26</v>
      </c>
      <c r="J10" s="9" t="s">
        <v>26</v>
      </c>
      <c r="K10" s="7" t="s">
        <v>26</v>
      </c>
      <c r="L10" s="7" t="s">
        <v>26</v>
      </c>
      <c r="M10" s="7" t="s">
        <v>26</v>
      </c>
      <c r="N10" s="7" t="s">
        <v>1320</v>
      </c>
      <c r="O10" s="7">
        <v>2.0</v>
      </c>
      <c r="P10" s="7" t="s">
        <v>1369</v>
      </c>
      <c r="Q10" s="7" t="s">
        <v>26</v>
      </c>
      <c r="R10" s="13" t="s">
        <v>2187</v>
      </c>
      <c r="S10" s="7" t="s">
        <v>26</v>
      </c>
      <c r="T10" s="7" t="s">
        <v>2211</v>
      </c>
    </row>
    <row r="11" ht="22.5" customHeight="1">
      <c r="C11" s="61"/>
      <c r="D11" s="61"/>
      <c r="E11" s="85"/>
      <c r="H11" s="61"/>
      <c r="I11" s="61"/>
      <c r="J11" s="61"/>
      <c r="L11" s="85"/>
      <c r="M11" s="85"/>
      <c r="O11" s="98"/>
    </row>
  </sheetData>
  <dataValidations>
    <dataValidation type="list" allowBlank="1" sqref="D2:D11">
      <formula1>"Agriculture ,Biotechnology &amp; Life Sciences,Food Technology,Advanced Materials &amp; Chemicals,MedTech &amp; Health Care,Robotics, Automation &amp; Drones,Infrastructure, Construction &amp; Smart Cities,Digital Technologies, AI &amp; Software,Consumer &amp; Lifestyle Products,Ene"&amp;"rgy, Climate &amp; Sustainability,Water, Environment &amp; Waste Management"</formula1>
    </dataValidation>
    <dataValidation type="list" allowBlank="1" sqref="J2:J11">
      <formula1>"Not Specified,Patented,Patent Filed"</formula1>
    </dataValidation>
    <dataValidation type="custom" allowBlank="1" showDropDown="1" sqref="O2:O11">
      <formula1>AND(ISNUMBER(O2),(NOT(OR(NOT(ISERROR(DATEVALUE(O2))), AND(ISNUMBER(O2), LEFT(CELL("format", O2))="D")))))</formula1>
    </dataValidation>
    <dataValidation allowBlank="1" showDropDown="1" sqref="E2:E11 L2:M11"/>
    <dataValidation type="list" allowBlank="1" sqref="H2:H11">
      <formula1>"High,Medium,Low,Not Specified"</formula1>
    </dataValidation>
    <dataValidation type="list" allowBlank="1" sqref="I2:I11">
      <formula1>"TRL 7-9,TRL 5-7,TRL 6-8,TRL 8-9,TRL,Not Specified,TRL 9"</formula1>
    </dataValidation>
    <dataValidation type="list" allowBlank="1" sqref="C2:C11">
      <formula1>"ICAR-CPCRI Kasaragod,ICAR-Central Tuber Crops Research Institute (CTCRI) Thiruvananthapuram,CSIR-National Institute for Interdisciplinary Science and Technology (NIIST),CSIR-National Institute for Interdisciplinary Science and Technology (NIIST),Kerala Un"&amp;"iversity of Fisheries and Ocean Studies (KUFOS),Kerala Agricultural University,ICAR-Indian Institute of Spices Research (IISR),Centre for Development of Advanced Computing (C-DAC),Sree Chitra Tirunal Institute for Medical Sciences and Technology (SCTIMST)"&amp;",C-MET Kerala,ICAR-Sugarcane Breeding Institute Research Centre, Kannur,National Coir Research &amp; Management Institute (NCRMI),Institute of Advanced Virology (IAV),KSCSTE- Jawaharlal Nehru Tropical Botanic Garden &amp; Research Institute (JNTBGRI),KSCSTE- Mala"&amp;"bar Botanical Garden &amp; Institute for Plant Sciences (MBGIPS),KSCSTE- Kerala Forest Research Institute (KFRI),KSCSTE- Centre for Water Resources Development and Management (CWRDM),KSCSTE-Institute for Climate Change Studies,Integrated Rural Technology cent"&amp;"re (IRTC) ,KSCSTE - Srinivasa Ramanujan Institute for Basic Sciences,KSCSTE - National Transportation Planning and Research Centre (NATPAC),KSCSTE - Sophisticated Test and Instrumentation Centre (STIC),Centre of Excellence in Nutraceuticals (CoEN),KSCSTE-"&amp;" Centre of Excellence in Microbiome (CoEM)"</formula1>
    </dataValidation>
  </dataValidations>
  <hyperlinks>
    <hyperlink r:id="rId1" ref="R2"/>
    <hyperlink r:id="rId2" ref="R3"/>
    <hyperlink r:id="rId3" ref="R4"/>
    <hyperlink r:id="rId4" ref="R5"/>
    <hyperlink r:id="rId5" ref="R6"/>
    <hyperlink r:id="rId6" ref="R7"/>
    <hyperlink r:id="rId7" ref="R8"/>
    <hyperlink r:id="rId8" ref="R9"/>
    <hyperlink r:id="rId9" ref="R10"/>
  </hyperlinks>
  <drawing r:id="rId10"/>
  <tableParts count="1">
    <tablePart r:id="rId12"/>
  </tableParts>
</worksheet>
</file>